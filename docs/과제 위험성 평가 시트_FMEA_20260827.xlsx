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00" yWindow="600" windowWidth="38400" windowHeight="19260" tabRatio="600" firstSheet="0" activeTab="1" autoFilterDateGrouping="1"/>
  </bookViews>
  <sheets>
    <sheet xmlns:r="http://schemas.openxmlformats.org/officeDocument/2006/relationships" name="위험성 평가" sheetId="1" state="visible" r:id="rId1"/>
    <sheet xmlns:r="http://schemas.openxmlformats.org/officeDocument/2006/relationships" name="FMEA" sheetId="2" state="visible" r:id="rId2"/>
    <sheet xmlns:r="http://schemas.openxmlformats.org/officeDocument/2006/relationships" name="FMEA 척도정의" sheetId="3" state="visible" r:id="rId3"/>
    <sheet xmlns:r="http://schemas.openxmlformats.org/officeDocument/2006/relationships" name="S_W 검증 리스크" sheetId="4" state="visible" r:id="rId4"/>
    <sheet xmlns:r="http://schemas.openxmlformats.org/officeDocument/2006/relationships" name="S_W FMEA" sheetId="5" state="visible" r:id="rId5"/>
  </sheets>
  <definedNames>
    <definedName name="_xlnm._FilterDatabase" localSheetId="1" hidden="1">'FMEA'!$A$4:$U$37</definedName>
    <definedName name="_xlnm._FilterDatabase" localSheetId="3" hidden="1">'S_W 검증 리스크'!$A$4:$H$38</definedName>
    <definedName name="_xlnm._FilterDatabase" localSheetId="4" hidden="1">'S_W FMEA'!$A$4:$V$38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sz val="12"/>
    </font>
    <font>
      <name val="맑은 고딕"/>
      <charset val="129"/>
      <family val="2"/>
      <sz val="12"/>
    </font>
    <font>
      <name val="맑은 고딕"/>
      <charset val="129"/>
      <family val="2"/>
      <b val="1"/>
      <sz val="14"/>
    </font>
    <font>
      <name val="맑은 고딕"/>
      <charset val="129"/>
      <family val="2"/>
      <color rgb="FF666666"/>
      <sz val="10"/>
    </font>
    <font>
      <name val="맑은 고딕"/>
      <charset val="129"/>
      <family val="2"/>
      <b val="1"/>
      <sz val="11"/>
    </font>
    <font>
      <name val="맑은 고딕"/>
      <charset val="129"/>
      <family val="2"/>
      <sz val="11"/>
    </font>
    <font>
      <name val="맑은 고딕"/>
      <charset val="129"/>
      <family val="2"/>
      <b val="1"/>
      <sz val="15"/>
    </font>
    <font>
      <name val="맑은 고딕"/>
      <charset val="129"/>
      <family val="2"/>
      <b val="1"/>
      <sz val="13"/>
    </font>
    <font>
      <name val="맑은 고딕"/>
      <charset val="129"/>
      <family val="2"/>
      <i val="1"/>
      <color rgb="FFC00000"/>
      <sz val="10"/>
    </font>
    <font>
      <name val="맑은 고딕"/>
      <charset val="129"/>
      <family val="2"/>
      <sz val="10"/>
    </font>
    <font>
      <name val="맑은 고딕"/>
      <charset val="129"/>
      <family val="2"/>
      <color rgb="FFC00000"/>
      <sz val="10"/>
    </font>
    <font>
      <name val="맑은 고딕"/>
      <charset val="129"/>
      <family val="2"/>
      <color theme="0" tint="-0.249977111117893"/>
      <sz val="12"/>
    </font>
    <font>
      <name val="맑은 고딕 (본문)"/>
      <charset val="129"/>
      <family val="3"/>
      <color theme="0" tint="-0.249977111117893"/>
      <sz val="11"/>
    </font>
    <font>
      <name val="맑은 고딕 (본문)"/>
      <charset val="129"/>
      <family val="3"/>
      <b val="1"/>
      <color theme="0" tint="-0.249977111117893"/>
      <sz val="11"/>
    </font>
    <font>
      <name val="맑은 고딕 (본문)"/>
      <charset val="129"/>
      <family val="3"/>
      <color theme="0" tint="-0.249977111117893"/>
      <sz val="12"/>
    </font>
    <font>
      <name val="맑은 고딕"/>
      <charset val="129"/>
      <family val="2"/>
      <color theme="0" tint="-0.249977111117893"/>
      <sz val="11"/>
    </font>
    <font>
      <name val="맑은 고딕"/>
      <charset val="129"/>
      <family val="2"/>
      <b val="1"/>
      <color theme="0" tint="-0.249977111117893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color theme="1"/>
      <sz val="11"/>
    </font>
    <font>
      <name val="맑은 고딕 (본문)"/>
      <charset val="129"/>
      <family val="3"/>
      <color theme="0" tint="-0.1499984740745262"/>
      <sz val="11"/>
    </font>
    <font>
      <name val="맑은 고딕 (본문)"/>
      <charset val="129"/>
      <family val="3"/>
      <b val="1"/>
      <color theme="0" tint="-0.1499984740745262"/>
      <sz val="11"/>
    </font>
    <font>
      <name val="맑은 고딕 (본문)"/>
      <charset val="129"/>
      <family val="3"/>
      <color theme="0" tint="-0.1499984740745262"/>
      <sz val="12"/>
    </font>
    <font>
      <name val="맑은 고딕"/>
      <b val="1"/>
      <sz val="14"/>
    </font>
    <font>
      <name val="맑은 고딕"/>
      <color rgb="00666666"/>
      <sz val="10"/>
    </font>
    <font>
      <name val="맑은 고딕"/>
      <b val="1"/>
      <sz val="11"/>
    </font>
    <font>
      <name val="맑은 고딕"/>
      <sz val="11"/>
    </font>
    <font>
      <name val="맑은 고딕"/>
      <b val="1"/>
      <color rgb="009C0006"/>
      <sz val="12"/>
    </font>
    <font>
      <name val="맑은 고딕"/>
      <color rgb="007A2E2E"/>
      <sz val="11"/>
    </font>
    <font>
      <name val="맑은 고딕"/>
      <sz val="12"/>
    </font>
  </fonts>
  <fills count="6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3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left" vertical="center" wrapText="1"/>
    </xf>
    <xf numFmtId="0" fontId="22" fillId="0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0" fontId="25" fillId="0" borderId="0" pivotButton="0" quotePrefix="0" xfId="0"/>
    <xf numFmtId="0" fontId="26" fillId="3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left" vertical="center" wrapText="1"/>
    </xf>
    <xf numFmtId="0" fontId="26" fillId="0" borderId="3" applyAlignment="1" pivotButton="0" quotePrefix="0" xfId="0">
      <alignment horizontal="center" vertical="center" wrapText="1"/>
    </xf>
    <xf numFmtId="0" fontId="28" fillId="4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</cellXfs>
  <cellStyles count="1">
    <cellStyle name="표준" xfId="0" builtinId="0"/>
  </cellStyles>
  <dxfs count="13">
    <dxf>
      <font>
        <name val="맑은 고딕"/>
        <color rgb="FF375623"/>
        <sz val="11"/>
      </font>
      <fill>
        <patternFill patternType="solid">
          <fgColor rgb="FFC6E0B4"/>
        </patternFill>
      </fill>
    </dxf>
    <dxf>
      <font>
        <name val="맑은 고딕"/>
        <b val="1"/>
        <color rgb="FF9C5700"/>
        <sz val="11"/>
      </font>
      <fill>
        <patternFill patternType="solid">
          <fgColor rgb="FFFFE699"/>
        </patternFill>
      </fill>
    </dxf>
    <dxf>
      <font>
        <name val="맑은 고딕"/>
        <b val="1"/>
        <color rgb="FF9C0006"/>
        <sz val="11"/>
      </font>
      <fill>
        <patternFill patternType="solid">
          <fgColor rgb="FFF8CBAD"/>
        </patternFill>
      </fill>
    </dxf>
    <dxf>
      <font>
        <name val="맑은 고딕"/>
        <color rgb="FF375623"/>
        <sz val="11"/>
      </font>
      <fill>
        <patternFill patternType="solid">
          <fgColor rgb="FFC6E0B4"/>
        </patternFill>
      </fill>
    </dxf>
    <dxf>
      <font>
        <name val="맑은 고딕"/>
        <b val="1"/>
        <color rgb="FF9C5700"/>
        <sz val="11"/>
      </font>
      <fill>
        <patternFill patternType="solid">
          <fgColor rgb="FFFFE699"/>
        </patternFill>
      </fill>
    </dxf>
    <dxf>
      <font>
        <name val="맑은 고딕"/>
        <b val="1"/>
        <color rgb="FF9C0006"/>
        <sz val="11"/>
      </font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ont>
        <name val="맑은 고딕"/>
        <b val="1"/>
        <color rgb="009C0006"/>
        <sz val="11"/>
      </font>
      <fill>
        <patternFill patternType="solid">
          <fgColor rgb="00F8CBAD"/>
        </patternFill>
      </fill>
    </dxf>
    <dxf>
      <font>
        <name val="맑은 고딕"/>
        <b val="1"/>
        <color rgb="009C5700"/>
        <sz val="11"/>
      </font>
      <fill>
        <patternFill patternType="solid">
          <fgColor rgb="00FFE699"/>
        </patternFill>
      </fill>
    </dxf>
    <dxf>
      <font>
        <name val="맑은 고딕"/>
        <color rgb="00375623"/>
        <sz val="11"/>
      </font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1"/>
  <sheetViews>
    <sheetView topLeftCell="A7" workbookViewId="0">
      <selection activeCell="B7" sqref="B7:C10"/>
    </sheetView>
  </sheetViews>
  <sheetFormatPr baseColWidth="10" defaultRowHeight="50" customHeight="1"/>
  <cols>
    <col width="12" bestFit="1" customWidth="1" style="6" min="2" max="2"/>
    <col width="55.85546875" bestFit="1" customWidth="1" style="6" min="3" max="3"/>
    <col width="80.7109375" customWidth="1" style="6" min="6" max="6"/>
  </cols>
  <sheetData>
    <row r="2" ht="50" customHeight="1" s="6">
      <c r="A2" s="3" t="inlineStr">
        <is>
          <t>번호</t>
        </is>
      </c>
      <c r="B2" s="3" t="inlineStr">
        <is>
          <t>주체</t>
        </is>
      </c>
      <c r="C2" s="3" t="inlineStr">
        <is>
          <t>리스크 항목</t>
        </is>
      </c>
      <c r="D2" s="3" t="inlineStr">
        <is>
          <t>검증 일정</t>
        </is>
      </c>
      <c r="E2" s="3" t="inlineStr">
        <is>
          <t>위험도</t>
        </is>
      </c>
      <c r="F2" s="3" t="inlineStr">
        <is>
          <t>상세설명</t>
        </is>
      </c>
    </row>
    <row r="3" ht="50" customHeight="1" s="6">
      <c r="A3" s="3" t="n">
        <v>1</v>
      </c>
      <c r="B3" s="3" t="inlineStr">
        <is>
          <t>이노로보틱스</t>
        </is>
      </c>
      <c r="C3" s="4" t="inlineStr">
        <is>
          <t>AMR SLAM 좌표와 용접라인 도면 좌표 매칭 검증</t>
        </is>
      </c>
      <c r="D3" s="3" t="inlineStr">
        <is>
          <t>~9/2</t>
        </is>
      </c>
      <c r="E3" s="3" t="inlineStr">
        <is>
          <t>높음</t>
        </is>
      </c>
      <c r="F3" s="11" t="inlineStr">
        <is>
          <t>도면 좌표의 3점과 SLAM 좌표 3점을 이용해서 좌표 매칭 캘리브레이션 수동실행 (T_W_D)</t>
        </is>
      </c>
    </row>
    <row r="4" ht="50" customHeight="1" s="6">
      <c r="A4" s="3" t="n">
        <v>2</v>
      </c>
      <c r="B4" s="3" t="inlineStr">
        <is>
          <t>이노로보틱스</t>
        </is>
      </c>
      <c r="C4" s="4" t="inlineStr">
        <is>
          <t>AMR Cobot 좌표와 용접라인 도면 좌표 매칭 검증</t>
        </is>
      </c>
      <c r="D4" s="3" t="inlineStr">
        <is>
          <t>~9/2</t>
        </is>
      </c>
      <c r="E4" s="3" t="inlineStr">
        <is>
          <t>높음</t>
        </is>
      </c>
      <c r="F4" s="11" t="inlineStr">
        <is>
          <t>도면 좌표와 Cobot의 좌표계간 좌표 매칭 캘리브레이션시 매칭 정확도 현장검증 (T_A_B)</t>
        </is>
      </c>
    </row>
    <row r="5" ht="50" customHeight="1" s="6">
      <c r="A5" s="3" t="n">
        <v>3</v>
      </c>
      <c r="B5" s="3" t="inlineStr">
        <is>
          <t>이노로보틱스</t>
        </is>
      </c>
      <c r="C5" s="4" t="inlineStr">
        <is>
          <t>ACS 명령 좌표와 아덴트 AMR Task TagName 매핑 문제</t>
        </is>
      </c>
      <c r="D5" s="3" t="inlineStr">
        <is>
          <t>~8/28</t>
        </is>
      </c>
      <c r="E5" s="3" t="inlineStr">
        <is>
          <t>낮음</t>
        </is>
      </c>
      <c r="F5" s="11" t="inlineStr">
        <is>
          <t>아덴트에 좌표 TagName List를 자동으로 입력받을 수 있도록 인터페이스 추가 필요</t>
        </is>
      </c>
    </row>
    <row r="6" ht="50" customHeight="1" s="6">
      <c r="A6" s="3" t="n">
        <v>4</v>
      </c>
      <c r="B6" s="3" t="inlineStr">
        <is>
          <t>이노로보틱스</t>
        </is>
      </c>
      <c r="C6" s="4" t="inlineStr">
        <is>
          <t>AREA 기준 선창 분할 방법에 대한 검증</t>
        </is>
      </c>
      <c r="D6" s="3" t="inlineStr">
        <is>
          <t>~9/4</t>
        </is>
      </c>
      <c r="E6" s="3" t="inlineStr">
        <is>
          <t>높음</t>
        </is>
      </c>
      <c r="F6" s="12" t="inlineStr">
        <is>
          <t>AREA라는 개념 정의를 기준으로 선창을 분할하는 작업은 사람이 해야하는데 
이기준으로 분할 작업을 했을때 문제점 유/무 검증</t>
        </is>
      </c>
    </row>
    <row r="7" ht="50" customHeight="1" s="6">
      <c r="A7" s="3" t="n">
        <v>5</v>
      </c>
      <c r="B7" s="3" t="inlineStr">
        <is>
          <t>이노로보틱스</t>
        </is>
      </c>
      <c r="C7" s="4" t="inlineStr">
        <is>
          <t>선창 내 조명 및 환경 차이로 인한 리뷰카메라 용접라인 탐색 실패 문제</t>
        </is>
      </c>
      <c r="D7" s="26" t="inlineStr">
        <is>
          <t>-</t>
        </is>
      </c>
      <c r="E7" s="3" t="inlineStr">
        <is>
          <t>높음</t>
        </is>
      </c>
      <c r="F7" s="12" t="inlineStr">
        <is>
          <t>리뷰 카메라에 의해 용접라인 탐색 시 선창 내 조명, 반사 등으로 인한 문제 발생 우려 
실험실에서 밝음/중간/어두움 조건을 나누어 1차 검증완료</t>
        </is>
      </c>
    </row>
    <row r="8" ht="50" customHeight="1" s="6">
      <c r="A8" s="3" t="n">
        <v>6</v>
      </c>
      <c r="B8" s="3" t="inlineStr">
        <is>
          <t>이노로보틱스</t>
        </is>
      </c>
      <c r="C8" s="4" t="inlineStr">
        <is>
          <t>수동 용접부 높이 편차로 인한 비전 포커스 틀어짐 문제</t>
        </is>
      </c>
      <c r="D8" s="26" t="inlineStr">
        <is>
          <t>-</t>
        </is>
      </c>
      <c r="E8" s="3" t="inlineStr">
        <is>
          <t>중간</t>
        </is>
      </c>
      <c r="F8" s="11" t="inlineStr">
        <is>
          <t>수동 용접부의 품질이 자동 용접에 비해 높이 편차가 커서 포커싱이 틀어지는 부분이 있음</t>
        </is>
      </c>
    </row>
    <row r="9" ht="50" customHeight="1" s="6">
      <c r="A9" s="3" t="n">
        <v>7</v>
      </c>
      <c r="B9" s="7" t="inlineStr">
        <is>
          <t>이노로보틱스</t>
        </is>
      </c>
      <c r="C9" s="5" t="inlineStr">
        <is>
          <t>[검증] Area·TASK 수동 등록 공수 미측정</t>
        </is>
      </c>
      <c r="D9" s="27" t="inlineStr">
        <is>
          <t>-</t>
        </is>
      </c>
      <c r="E9" s="7" t="inlineStr">
        <is>
          <t>중간</t>
        </is>
      </c>
      <c r="F9" s="12" t="inlineStr">
        <is>
          <t>선창 분할과 용접선 등록이 사람 작업. 선창 1개당 등록 소요시간이 측정되지 않아 선박마다 반복될 때의 운영 공수를 산정할 수 없음.
등록 결과의 검토·승인 절차(누가 맞다고 확인하는가)도 미정.</t>
        </is>
      </c>
    </row>
    <row r="10" ht="50" customHeight="1" s="6">
      <c r="A10" s="3" t="n">
        <v>8</v>
      </c>
      <c r="B10" s="7" t="inlineStr">
        <is>
          <t>이노로보틱스</t>
        </is>
      </c>
      <c r="C10" s="5" t="inlineStr">
        <is>
          <t>[운영] 배터리 지속시간과 1회 Run 소요시간의 관계 미검토</t>
        </is>
      </c>
      <c r="D10" s="27" t="inlineStr">
        <is>
          <t>-</t>
        </is>
      </c>
      <c r="E10" s="7" t="inlineStr">
        <is>
          <t>중간</t>
        </is>
      </c>
      <c r="F10" s="12" t="inlineStr">
        <is>
          <t>선창 전체 영역을 1회 Run으로 전개하는 구조. 도중 충전이 필요한 경우 Run을 중단·재개하는 절차와 상태 복구 방법이 정의되어 있지 않음.</t>
        </is>
      </c>
    </row>
    <row r="11" ht="50" customHeight="1" s="6">
      <c r="A11" s="3" t="n">
        <v>9</v>
      </c>
      <c r="B11" s="3" t="inlineStr">
        <is>
          <t>ALL</t>
        </is>
      </c>
      <c r="C11" s="4" t="inlineStr">
        <is>
          <t>3면, 4면 시트 용접라인 검사 방법 개발 필요</t>
        </is>
      </c>
      <c r="D11" s="3" t="n"/>
      <c r="E11" s="3" t="inlineStr">
        <is>
          <t>높음</t>
        </is>
      </c>
      <c r="F11" s="11" t="inlineStr">
        <is>
          <t>검사 방법과 구현 방법에 따라 추가 일정 확보 필요</t>
        </is>
      </c>
    </row>
    <row r="12" ht="50" customHeight="1" s="6">
      <c r="A12" s="3" t="n">
        <v>10</v>
      </c>
      <c r="B12" s="3" t="inlineStr">
        <is>
          <t>ALL</t>
        </is>
      </c>
      <c r="C12" s="4" t="inlineStr">
        <is>
          <t>덧붙임 시트 용접라인 검사 방법 개발 필요</t>
        </is>
      </c>
      <c r="D12" s="3" t="n"/>
      <c r="E12" s="3" t="inlineStr">
        <is>
          <t>높음</t>
        </is>
      </c>
      <c r="F12" s="12" t="inlineStr">
        <is>
          <t>검사 위치를 찾아가는 방법을 새롭게 정의해야하고 촬영 인터페이스 추가 등으로 
일정 확보 필요</t>
        </is>
      </c>
    </row>
    <row r="13" ht="50" customHeight="1" s="6">
      <c r="A13" s="3" t="n">
        <v>11</v>
      </c>
      <c r="B13" s="3" t="inlineStr">
        <is>
          <t>ALL</t>
        </is>
      </c>
      <c r="C13" s="4" t="inlineStr">
        <is>
          <t>HD현대 엔터프라이즈 어플리케이션 사양 대응 및 일정 추가 필요</t>
        </is>
      </c>
      <c r="D13" s="3" t="n"/>
      <c r="E13" s="3" t="inlineStr">
        <is>
          <t>높음</t>
        </is>
      </c>
      <c r="F13" s="12" t="inlineStr">
        <is>
          <t>ACS -&gt; 세이지 ADMIN SERVER -&gt; HD현대 엔터프라이즈 사양 대응을 위해 
추가 개발일정 소요</t>
        </is>
      </c>
    </row>
    <row r="14" ht="50" customHeight="1" s="6">
      <c r="A14" s="3" t="n">
        <v>12</v>
      </c>
      <c r="B14" s="3" t="inlineStr">
        <is>
          <t>ALL</t>
        </is>
      </c>
      <c r="C14" s="4" t="inlineStr">
        <is>
          <t>선창내 와이파이 환경과 통신 관련 리스크 확인 필요</t>
        </is>
      </c>
      <c r="D14" s="3" t="n"/>
      <c r="E14" s="3" t="inlineStr">
        <is>
          <t>중간</t>
        </is>
      </c>
      <c r="F14" s="11" t="inlineStr">
        <is>
          <t>ACS/AMR 무선통신 환경, VISION/세이지 분석 서버 무선통신 환경</t>
        </is>
      </c>
    </row>
    <row r="15" ht="50" customHeight="1" s="6">
      <c r="A15" s="3" t="n">
        <v>13</v>
      </c>
      <c r="B15" s="7" t="inlineStr">
        <is>
          <t>ALL</t>
        </is>
      </c>
      <c r="C15" s="5" t="inlineStr">
        <is>
          <t>[좌표정합] F/A 격벽 팔각 윤곽 꼭짓점과 실제 도면의 일치 확인</t>
        </is>
      </c>
      <c r="D15" s="7" t="n"/>
      <c r="E15" s="7" t="inlineStr">
        <is>
          <t>중간</t>
        </is>
      </c>
      <c r="F15" s="12" t="inlineStr">
        <is>
          <t>ACS가 선창 파라미터로 계산한 8점 폴리곤을 제공하기로 했으나, 실제 화물창 도면이 그 폴리곤으로 표현 가능한지 미확인</t>
        </is>
      </c>
    </row>
    <row r="16" ht="50" customHeight="1" s="6">
      <c r="A16" s="1" t="n"/>
      <c r="B16" s="1" t="n"/>
      <c r="C16" s="2" t="n"/>
      <c r="D16" s="1" t="n"/>
      <c r="E16" s="1" t="n"/>
      <c r="F16" s="1" t="n"/>
    </row>
    <row r="17" ht="50" customHeight="1" s="6">
      <c r="A17" s="1" t="n"/>
      <c r="B17" s="1" t="n"/>
      <c r="C17" s="2" t="n"/>
      <c r="D17" s="1" t="n"/>
      <c r="E17" s="1" t="n"/>
      <c r="F17" s="1" t="n"/>
    </row>
    <row r="18" ht="50" customHeight="1" s="6">
      <c r="A18" s="1" t="n"/>
      <c r="B18" s="1" t="n"/>
      <c r="C18" s="2" t="n"/>
      <c r="D18" s="1" t="n"/>
      <c r="E18" s="1" t="n"/>
      <c r="F18" s="1" t="n"/>
    </row>
    <row r="19" ht="50" customHeight="1" s="6">
      <c r="A19" s="1" t="n"/>
      <c r="B19" s="1" t="n"/>
      <c r="C19" s="2" t="n"/>
      <c r="D19" s="1" t="n"/>
      <c r="E19" s="1" t="n"/>
      <c r="F19" s="1" t="n"/>
    </row>
    <row r="20" ht="50" customHeight="1" s="6">
      <c r="A20" s="1" t="n"/>
      <c r="B20" s="1" t="n"/>
      <c r="C20" s="2" t="n"/>
      <c r="D20" s="1" t="n"/>
      <c r="E20" s="1" t="n"/>
      <c r="F20" s="1" t="n"/>
    </row>
    <row r="21" ht="50" customHeight="1" s="6">
      <c r="A21" s="1" t="n"/>
      <c r="B21" s="1" t="n"/>
      <c r="C21" s="2" t="n"/>
      <c r="D21" s="1" t="n"/>
      <c r="E21" s="1" t="n"/>
      <c r="F21" s="1" t="n"/>
    </row>
    <row r="22" ht="50" customHeight="1" s="6">
      <c r="A22" s="1" t="n"/>
      <c r="B22" s="1" t="n"/>
      <c r="C22" s="2" t="n"/>
      <c r="D22" s="1" t="n"/>
      <c r="E22" s="1" t="n"/>
      <c r="F22" s="1" t="n"/>
    </row>
    <row r="23" ht="50" customHeight="1" s="6">
      <c r="A23" s="1" t="n"/>
      <c r="B23" s="1" t="n"/>
      <c r="C23" s="2" t="n"/>
      <c r="D23" s="1" t="n"/>
      <c r="E23" s="1" t="n"/>
      <c r="F23" s="1" t="n"/>
    </row>
    <row r="24" ht="50" customHeight="1" s="6">
      <c r="A24" s="1" t="n"/>
      <c r="B24" s="1" t="n"/>
      <c r="C24" s="2" t="n"/>
      <c r="D24" s="1" t="n"/>
      <c r="E24" s="1" t="n"/>
      <c r="F24" s="1" t="n"/>
    </row>
    <row r="25" ht="50" customHeight="1" s="6">
      <c r="A25" s="1" t="n"/>
      <c r="B25" s="1" t="n"/>
      <c r="C25" s="2" t="n"/>
      <c r="D25" s="1" t="n"/>
      <c r="E25" s="1" t="n"/>
      <c r="F25" s="1" t="n"/>
    </row>
    <row r="26" ht="50" customHeight="1" s="6">
      <c r="A26" s="1" t="n"/>
      <c r="B26" s="1" t="n"/>
      <c r="C26" s="2" t="n"/>
      <c r="D26" s="1" t="n"/>
      <c r="E26" s="1" t="n"/>
      <c r="F26" s="1" t="n"/>
    </row>
    <row r="27" ht="50" customHeight="1" s="6">
      <c r="A27" s="1" t="n"/>
      <c r="B27" s="1" t="n"/>
      <c r="C27" s="2" t="n"/>
      <c r="D27" s="1" t="n"/>
      <c r="E27" s="1" t="n"/>
      <c r="F27" s="1" t="n"/>
    </row>
    <row r="28" ht="50" customHeight="1" s="6">
      <c r="A28" s="1" t="n"/>
      <c r="B28" s="1" t="n"/>
      <c r="C28" s="2" t="n"/>
      <c r="D28" s="1" t="n"/>
      <c r="E28" s="1" t="n"/>
      <c r="F28" s="1" t="n"/>
    </row>
    <row r="29" ht="50" customHeight="1" s="6">
      <c r="A29" s="1" t="n"/>
      <c r="B29" s="1" t="n"/>
      <c r="C29" s="2" t="n"/>
      <c r="D29" s="1" t="n"/>
      <c r="E29" s="1" t="n"/>
      <c r="F29" s="1" t="n"/>
    </row>
    <row r="30" ht="50" customHeight="1" s="6">
      <c r="A30" s="1" t="n"/>
      <c r="B30" s="1" t="n"/>
      <c r="C30" s="2" t="n"/>
      <c r="D30" s="1" t="n"/>
      <c r="E30" s="1" t="n"/>
      <c r="F30" s="1" t="n"/>
    </row>
    <row r="31" ht="50" customHeight="1" s="6">
      <c r="A31" s="1" t="n"/>
      <c r="B31" s="1" t="n"/>
      <c r="C31" s="1" t="n"/>
      <c r="D31" s="1" t="n"/>
      <c r="E31" s="1" t="n"/>
      <c r="F31" s="1" t="n"/>
    </row>
    <row r="32" ht="50" customHeight="1" s="6">
      <c r="A32" s="1" t="n"/>
      <c r="B32" s="1" t="n"/>
      <c r="C32" s="1" t="n"/>
      <c r="D32" s="1" t="n"/>
      <c r="E32" s="1" t="n"/>
      <c r="F32" s="1" t="n"/>
    </row>
    <row r="33" ht="50" customHeight="1" s="6">
      <c r="A33" s="1" t="n"/>
      <c r="B33" s="1" t="n"/>
      <c r="C33" s="1" t="n"/>
      <c r="D33" s="1" t="n"/>
      <c r="E33" s="1" t="n"/>
      <c r="F33" s="1" t="n"/>
    </row>
    <row r="34" ht="50" customHeight="1" s="6">
      <c r="A34" s="1" t="n"/>
      <c r="B34" s="1" t="n"/>
      <c r="C34" s="1" t="n"/>
      <c r="D34" s="1" t="n"/>
      <c r="E34" s="1" t="n"/>
      <c r="F34" s="1" t="n"/>
    </row>
    <row r="35" ht="50" customHeight="1" s="6">
      <c r="A35" s="1" t="n"/>
      <c r="B35" s="1" t="n"/>
      <c r="C35" s="1" t="n"/>
      <c r="D35" s="1" t="n"/>
      <c r="E35" s="1" t="n"/>
      <c r="F35" s="1" t="n"/>
    </row>
    <row r="36" ht="50" customHeight="1" s="6">
      <c r="A36" s="1" t="n"/>
      <c r="B36" s="1" t="n"/>
      <c r="C36" s="1" t="n"/>
      <c r="D36" s="1" t="n"/>
      <c r="E36" s="1" t="n"/>
      <c r="F36" s="1" t="n"/>
    </row>
    <row r="37" ht="50" customHeight="1" s="6">
      <c r="A37" s="1" t="n"/>
      <c r="B37" s="1" t="n"/>
      <c r="C37" s="1" t="n"/>
      <c r="D37" s="1" t="n"/>
      <c r="E37" s="1" t="n"/>
      <c r="F37" s="1" t="n"/>
    </row>
    <row r="38" ht="50" customHeight="1" s="6">
      <c r="A38" s="1" t="n"/>
      <c r="B38" s="1" t="n"/>
      <c r="C38" s="1" t="n"/>
      <c r="D38" s="1" t="n"/>
      <c r="E38" s="1" t="n"/>
      <c r="F38" s="1" t="n"/>
    </row>
    <row r="39" ht="50" customHeight="1" s="6">
      <c r="A39" s="1" t="n"/>
      <c r="B39" s="1" t="n"/>
      <c r="C39" s="1" t="n"/>
      <c r="D39" s="1" t="n"/>
      <c r="E39" s="1" t="n"/>
      <c r="F39" s="1" t="n"/>
    </row>
    <row r="40" ht="50" customHeight="1" s="6">
      <c r="A40" s="1" t="n"/>
      <c r="B40" s="1" t="n"/>
      <c r="C40" s="1" t="n"/>
      <c r="D40" s="1" t="n"/>
      <c r="E40" s="1" t="n"/>
      <c r="F40" s="1" t="n"/>
    </row>
    <row r="41" ht="50" customHeight="1" s="6">
      <c r="A41" s="1" t="n"/>
      <c r="B41" s="1" t="n"/>
      <c r="C41" s="1" t="n"/>
      <c r="D41" s="1" t="n"/>
      <c r="E41" s="1" t="n"/>
      <c r="F4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tabSelected="1" workbookViewId="0">
      <pane xSplit="3" ySplit="4" topLeftCell="F26" activePane="bottomRight" state="frozen"/>
      <selection pane="topRight" activeCell="A1" sqref="A1"/>
      <selection pane="bottomLeft" activeCell="A1" sqref="A1"/>
      <selection pane="bottomRight" activeCell="Q38" sqref="Q38"/>
    </sheetView>
  </sheetViews>
  <sheetFormatPr baseColWidth="10" defaultColWidth="8.7109375" defaultRowHeight="18"/>
  <cols>
    <col width="9" customWidth="1" style="6" min="1" max="1"/>
    <col width="7" customWidth="1" style="6" min="2" max="2"/>
    <col width="12" customWidth="1" style="6" min="3" max="3"/>
    <col width="30" customWidth="1" style="6" min="4" max="4"/>
    <col width="34" customWidth="1" style="6" min="5" max="5"/>
    <col width="38" customWidth="1" style="6" min="6" max="6"/>
    <col width="5" customWidth="1" style="6" min="7" max="7"/>
    <col width="34" customWidth="1" style="6" min="8" max="8"/>
    <col width="5" customWidth="1" style="6" min="9" max="9"/>
    <col width="26" customWidth="1" style="6" min="10" max="10"/>
    <col width="34" customWidth="1" style="6" min="11" max="11"/>
    <col width="5" customWidth="1" style="6" min="12" max="12"/>
    <col width="7" customWidth="1" style="6" min="13" max="13"/>
    <col width="6" customWidth="1" style="6" min="14" max="14"/>
    <col width="46" customWidth="1" style="6" min="15" max="15"/>
    <col width="13" customWidth="1" style="6" min="16" max="16"/>
    <col width="11" customWidth="1" style="6" min="17" max="17"/>
    <col width="7" customWidth="1" style="6" min="18" max="20"/>
    <col width="8" customWidth="1" style="6" min="21" max="21"/>
  </cols>
  <sheetData>
    <row r="1" ht="24" customHeight="1" s="6">
      <c r="A1" s="13" t="inlineStr">
        <is>
          <t>HD현대 LNG 화물창 용접검사로봇 — 과제 FMEA</t>
        </is>
      </c>
    </row>
    <row r="2">
      <c r="A2" s="14" t="n"/>
    </row>
    <row r="4" ht="46" customHeight="1" s="6">
      <c r="A4" s="15" t="inlineStr">
        <is>
          <t>FMEA
번호</t>
        </is>
      </c>
      <c r="B4" s="15" t="inlineStr">
        <is>
          <t>원본
번호</t>
        </is>
      </c>
      <c r="C4" s="15" t="inlineStr">
        <is>
          <t>주체</t>
        </is>
      </c>
      <c r="D4" s="15" t="inlineStr">
        <is>
          <t>대상 기능 / 요구사항</t>
        </is>
      </c>
      <c r="E4" s="15" t="inlineStr">
        <is>
          <t>고장 모드
(무엇이 잘못되는가)</t>
        </is>
      </c>
      <c r="F4" s="15" t="inlineStr">
        <is>
          <t>고장 영향
(그래서 무슨 일이 생기는가)</t>
        </is>
      </c>
      <c r="G4" s="15" t="inlineStr">
        <is>
          <t>S</t>
        </is>
      </c>
      <c r="H4" s="15" t="inlineStr">
        <is>
          <t>고장 원인
(왜 생기는가)</t>
        </is>
      </c>
      <c r="I4" s="15" t="inlineStr">
        <is>
          <t>O</t>
        </is>
      </c>
      <c r="J4" s="15" t="inlineStr">
        <is>
          <t>현행 관리 — 예방</t>
        </is>
      </c>
      <c r="K4" s="15" t="inlineStr">
        <is>
          <t>현행 관리 — 검출</t>
        </is>
      </c>
      <c r="L4" s="15" t="inlineStr">
        <is>
          <t>D</t>
        </is>
      </c>
      <c r="M4" s="15" t="inlineStr">
        <is>
          <t>RPN</t>
        </is>
      </c>
      <c r="N4" s="15" t="inlineStr">
        <is>
          <t>AP</t>
        </is>
      </c>
      <c r="O4" s="15" t="inlineStr">
        <is>
          <t>권고 조치</t>
        </is>
      </c>
      <c r="P4" s="15" t="inlineStr">
        <is>
          <t>조치 시점
(제안)</t>
        </is>
      </c>
      <c r="Q4" s="15" t="inlineStr">
        <is>
          <t>담당
(기입)</t>
        </is>
      </c>
      <c r="R4" s="15" t="inlineStr">
        <is>
          <t>조치후
S</t>
        </is>
      </c>
      <c r="S4" s="15" t="inlineStr">
        <is>
          <t>조치후
O</t>
        </is>
      </c>
      <c r="T4" s="15" t="inlineStr">
        <is>
          <t>조치후
D</t>
        </is>
      </c>
      <c r="U4" s="15" t="inlineStr">
        <is>
          <t>조치후
AP</t>
        </is>
      </c>
    </row>
    <row r="5" ht="54" customHeight="1" s="6">
      <c r="A5" s="16" t="inlineStr">
        <is>
          <t>R01-1</t>
        </is>
      </c>
      <c r="B5" s="16" t="n">
        <v>1</v>
      </c>
      <c r="C5" s="16" t="inlineStr">
        <is>
          <t>이노로보틱스</t>
        </is>
      </c>
      <c r="D5" s="17" t="inlineStr">
        <is>
          <t>층별 도면 좌표 → AMR 맵 좌표 변환(T_W_D) 산출</t>
        </is>
      </c>
      <c r="E5" s="17" t="inlineStr">
        <is>
          <t>기준점 3점을 실제와 다른 지점에 지정</t>
        </is>
      </c>
      <c r="F5" s="17" t="inlineStr">
        <is>
          <t>그 층 전체 정차 위치가 계통적으로 어긋나 전 TASK 오촬영·검사 실패</t>
        </is>
      </c>
      <c r="G5" s="16" t="n">
        <v>8</v>
      </c>
      <c r="H5" s="17" t="inlineStr">
        <is>
          <t>3점 캘리브레이션이 수동이며 기준점의 물리 마킹 위치 규약이 없음</t>
        </is>
      </c>
      <c r="I5" s="16" t="n">
        <v>6</v>
      </c>
      <c r="J5" s="17" t="inlineStr">
        <is>
          <t>없음 — 기준점 선정 규약 미정</t>
        </is>
      </c>
      <c r="K5" s="17" t="inlineStr">
        <is>
          <t>캘리브레이션 시 잔차 RMS/Max 표시 (단, 3점이 일관되게 평행이동 오류면 잔차가 0으로 나와 검출 불가)</t>
        </is>
      </c>
      <c r="L5" s="16" t="n">
        <v>8</v>
      </c>
      <c r="M5" s="16">
        <f>G5*I5*L5</f>
        <v/>
      </c>
      <c r="N5" s="18">
        <f>IF(G5&gt;=9,IF(I5&gt;=6,"H",IF(I5&gt;=4,IF(L5&gt;=2,"H","M"),IF(I5&gt;=2,IF(L5&gt;=7,"H",IF(L5&gt;=2,"M","L")),"L"))),IF(G5&gt;=7,IF(I5&gt;=8,IF(L5&gt;=2,"H","M"),IF(I5&gt;=6,IF(L5&gt;=5,"H","M"),IF(I5&gt;=4,IF(L5&gt;=7,"H",IF(L5&gt;=2,"M","L")),IF(I5&gt;=2,IF(L5&gt;=5,"M","L"),"L")))),IF(G5&gt;=4,IF(I5&gt;=8,IF(L5&gt;=7,"H",IF(L5&gt;=2,"M","L")),IF(I5&gt;=6,IF(L5&gt;=5,"M","L"),IF(I5&gt;=4,IF(L5&gt;=7,"M","L"),"L"))),IF(G5&gt;=2,IF(I5&gt;=8,IF(L5&gt;=7,"M","L"),"L"),"L"))))</f>
        <v/>
      </c>
      <c r="O5" s="17" t="inlineStr">
        <is>
          <t>기준점과 별개인 검증점 3점 이상을 두고 검증점 오차로 합격 판정. 기준점 물리 마킹 위치를 도면에 고정 지정하고 현장 사진으로 기록.</t>
        </is>
      </c>
      <c r="P5" s="16" t="inlineStr">
        <is>
          <t>즉시</t>
        </is>
      </c>
      <c r="Q5" s="16" t="n"/>
      <c r="R5" s="16" t="n"/>
      <c r="S5" s="16" t="n"/>
      <c r="T5" s="16" t="n"/>
      <c r="U5" s="16" t="n"/>
    </row>
    <row r="6" ht="36" customHeight="1" s="6">
      <c r="A6" s="16" t="inlineStr">
        <is>
          <t>R01-2</t>
        </is>
      </c>
      <c r="B6" s="16" t="n">
        <v>1</v>
      </c>
      <c r="C6" s="16" t="inlineStr">
        <is>
          <t>이노로보틱스</t>
        </is>
      </c>
      <c r="D6" s="17" t="inlineStr">
        <is>
          <t>T_W_D 잔차 허용치 판정</t>
        </is>
      </c>
      <c r="E6" s="17" t="inlineStr">
        <is>
          <t>잔차가 큰데 운영자가 무시하고 Run 진행</t>
        </is>
      </c>
      <c r="F6" s="17" t="inlineStr">
        <is>
          <t>위치 오차가 코봇 보정 범위를 넘어 검사 실패 다발</t>
        </is>
      </c>
      <c r="G6" s="16" t="n">
        <v>7</v>
      </c>
      <c r="H6" s="17" t="inlineStr">
        <is>
          <t>RmsWarnM이 '경고'일 뿐 차단이 아니며, 합격 임계값 자체가 미확정</t>
        </is>
      </c>
      <c r="I6" s="16" t="n">
        <v>7</v>
      </c>
      <c r="J6" s="17" t="inlineStr">
        <is>
          <t>설정값 기반 경고 임계</t>
        </is>
      </c>
      <c r="K6" s="17" t="inlineStr">
        <is>
          <t>릴리즈 시 유효 T_W_D 존재 여부만 확인 — 품질은 미확인</t>
        </is>
      </c>
      <c r="L6" s="16" t="n">
        <v>5</v>
      </c>
      <c r="M6" s="16">
        <f>G6*I6*L6</f>
        <v/>
      </c>
      <c r="N6" s="18">
        <f>IF(G6&gt;=9,IF(I6&gt;=6,"H",IF(I6&gt;=4,IF(L6&gt;=2,"H","M"),IF(I6&gt;=2,IF(L6&gt;=7,"H",IF(L6&gt;=2,"M","L")),"L"))),IF(G6&gt;=7,IF(I6&gt;=8,IF(L6&gt;=2,"H","M"),IF(I6&gt;=6,IF(L6&gt;=5,"H","M"),IF(I6&gt;=4,IF(L6&gt;=7,"H",IF(L6&gt;=2,"M","L")),IF(I6&gt;=2,IF(L6&gt;=5,"M","L"),"L")))),IF(G6&gt;=4,IF(I6&gt;=8,IF(L6&gt;=7,"H",IF(L6&gt;=2,"M","L")),IF(I6&gt;=6,IF(L6&gt;=5,"M","L"),IF(I6&gt;=4,IF(L6&gt;=7,"M","L"),"L"))),IF(G6&gt;=2,IF(I6&gt;=8,IF(L6&gt;=7,"M","L"),"L"),"L"))))</f>
        <v/>
      </c>
      <c r="O6" s="17" t="inlineStr">
        <is>
          <t>합격 임계 초과 시 Run 시작을 차단하는 hard gate로 전환. 임계값은 비전 FOV와 코봇 보정 가능 범위에서 역산해 사전 확정.</t>
        </is>
      </c>
      <c r="P6" s="16" t="inlineStr">
        <is>
          <t>즉시</t>
        </is>
      </c>
      <c r="Q6" s="16" t="inlineStr">
        <is>
          <t>지현우</t>
        </is>
      </c>
      <c r="R6" s="16" t="n"/>
      <c r="S6" s="16" t="n"/>
      <c r="T6" s="16" t="n"/>
      <c r="U6" s="16" t="n"/>
    </row>
    <row r="7" ht="36" customHeight="1" s="6">
      <c r="A7" s="16" t="inlineStr">
        <is>
          <t>R01-3</t>
        </is>
      </c>
      <c r="B7" s="16" t="n">
        <v>1</v>
      </c>
      <c r="C7" s="16" t="inlineStr">
        <is>
          <t>이노로보틱스</t>
        </is>
      </c>
      <c r="D7" s="17" t="inlineStr">
        <is>
          <t>캘리브레이션 유효성 유지</t>
        </is>
      </c>
      <c r="E7" s="17" t="inlineStr">
        <is>
          <t>맵 갱신·로봇 재부팅·SLAM 드리프트 후 재캘리브레이션 미수행</t>
        </is>
      </c>
      <c r="F7" s="17" t="inlineStr">
        <is>
          <t>이전 변환이 유효한 것으로 남아 전 층 좌표가 서서히 어긋남</t>
        </is>
      </c>
      <c r="G7" s="16" t="n">
        <v>8</v>
      </c>
      <c r="H7" s="17" t="inlineStr">
        <is>
          <t>재수행 트리거·유효기간 정책 부재</t>
        </is>
      </c>
      <c r="I7" s="16" t="n">
        <v>5</v>
      </c>
      <c r="J7" s="17" t="inlineStr">
        <is>
          <t>맵 버전 일치 검사</t>
        </is>
      </c>
      <c r="K7" s="17" t="inlineStr">
        <is>
          <t>맵 버전 불일치 시 릴리즈 거부 — 단 맵 버전이 안 바뀌는 드리프트는 검출 수단 없음</t>
        </is>
      </c>
      <c r="L7" s="16" t="n">
        <v>7</v>
      </c>
      <c r="M7" s="16">
        <f>G7*I7*L7</f>
        <v/>
      </c>
      <c r="N7" s="18">
        <f>IF(G7&gt;=9,IF(I7&gt;=6,"H",IF(I7&gt;=4,IF(L7&gt;=2,"H","M"),IF(I7&gt;=2,IF(L7&gt;=7,"H",IF(L7&gt;=2,"M","L")),"L"))),IF(G7&gt;=7,IF(I7&gt;=8,IF(L7&gt;=2,"H","M"),IF(I7&gt;=6,IF(L7&gt;=5,"H","M"),IF(I7&gt;=4,IF(L7&gt;=7,"H",IF(L7&gt;=2,"M","L")),IF(I7&gt;=2,IF(L7&gt;=5,"M","L"),"L")))),IF(G7&gt;=4,IF(I7&gt;=8,IF(L7&gt;=7,"H",IF(L7&gt;=2,"M","L")),IF(I7&gt;=6,IF(L7&gt;=5,"M","L"),IF(I7&gt;=4,IF(L7&gt;=7,"M","L"),"L"))),IF(G7&gt;=2,IF(I7&gt;=8,IF(L7&gt;=7,"M","L"),"L"),"L"))))</f>
        <v/>
      </c>
      <c r="O7" s="17" t="inlineStr">
        <is>
          <t>캘리브레이션 유효기간과 재수행 트리거를 정책으로 정의. Run 시작 시 검증점 1점 재확인을 절차로 강제.</t>
        </is>
      </c>
      <c r="P7" s="16" t="inlineStr">
        <is>
          <t>즉시</t>
        </is>
      </c>
      <c r="Q7" s="16" t="inlineStr">
        <is>
          <t>김성곤</t>
        </is>
      </c>
      <c r="R7" s="16" t="n"/>
      <c r="S7" s="16" t="n"/>
      <c r="T7" s="16" t="n"/>
      <c r="U7" s="16" t="n"/>
    </row>
    <row r="8" ht="36" customHeight="1" s="6">
      <c r="A8" s="16" t="inlineStr">
        <is>
          <t>R01-4</t>
        </is>
      </c>
      <c r="B8" s="16" t="n">
        <v>1</v>
      </c>
      <c r="C8" s="16" t="inlineStr">
        <is>
          <t>이노로보틱스</t>
        </is>
      </c>
      <c r="D8" s="17" t="inlineStr">
        <is>
          <t>층별 캘리브레이션 완비 확인</t>
        </is>
      </c>
      <c r="E8" s="17" t="inlineStr">
        <is>
          <t>특정 층만 캘리브레이션 누락 → 그 층이 검사 대상에서 조용히 제외</t>
        </is>
      </c>
      <c r="F8" s="17" t="inlineStr">
        <is>
          <t>검사하지 않은 구간이 진행률 100% 뒤에 가려짐 — 미검사를 검사 완료로 보고</t>
        </is>
      </c>
      <c r="G8" s="16" t="n">
        <v>9</v>
      </c>
      <c r="H8" s="17" t="inlineStr">
        <is>
          <t>미유효 층은 큐 전개에서 빠지고 진행률 분모에서도 제외되는 설계</t>
        </is>
      </c>
      <c r="I8" s="16" t="n">
        <v>5</v>
      </c>
      <c r="J8" s="17" t="inlineStr">
        <is>
          <t>없음</t>
        </is>
      </c>
      <c r="K8" s="17" t="inlineStr">
        <is>
          <t>excludedTasks 수치로만 보고 — 제외 사유·대상 목록 조회 수단이 없어 실질 추적 불가</t>
        </is>
      </c>
      <c r="L8" s="16" t="n">
        <v>6</v>
      </c>
      <c r="M8" s="16">
        <f>G8*I8*L8</f>
        <v/>
      </c>
      <c r="N8" s="18">
        <f>IF(G8&gt;=9,IF(I8&gt;=6,"H",IF(I8&gt;=4,IF(L8&gt;=2,"H","M"),IF(I8&gt;=2,IF(L8&gt;=7,"H",IF(L8&gt;=2,"M","L")),"L"))),IF(G8&gt;=7,IF(I8&gt;=8,IF(L8&gt;=2,"H","M"),IF(I8&gt;=6,IF(L8&gt;=5,"H","M"),IF(I8&gt;=4,IF(L8&gt;=7,"H",IF(L8&gt;=2,"M","L")),IF(I8&gt;=2,IF(L8&gt;=5,"M","L"),"L")))),IF(G8&gt;=4,IF(I8&gt;=8,IF(L8&gt;=7,"H",IF(L8&gt;=2,"M","L")),IF(I8&gt;=6,IF(L8&gt;=5,"M","L"),IF(I8&gt;=4,IF(L8&gt;=7,"M","L"),"L"))),IF(G8&gt;=2,IF(I8&gt;=8,IF(L8&gt;=7,"M","L"),"L"),"L"))))</f>
        <v/>
      </c>
      <c r="O8" s="17" t="inlineStr">
        <is>
          <t>Run 시작 전 전 층 캘리브레이션 유효성 체크리스트를 화면에 강제 표시. 제외 대상 목록·사유 조회 API 제공.</t>
        </is>
      </c>
      <c r="P8" s="16" t="inlineStr">
        <is>
          <t>즉시</t>
        </is>
      </c>
      <c r="Q8" s="16" t="inlineStr">
        <is>
          <t>지현우</t>
        </is>
      </c>
      <c r="R8" s="16" t="n"/>
      <c r="S8" s="16" t="n"/>
      <c r="T8" s="16" t="n"/>
      <c r="U8" s="16" t="n"/>
    </row>
    <row r="9" ht="36" customHeight="1" s="6">
      <c r="A9" s="16" t="inlineStr">
        <is>
          <t>R02-1</t>
        </is>
      </c>
      <c r="B9" s="16" t="n">
        <v>2</v>
      </c>
      <c r="C9" s="16" t="inlineStr">
        <is>
          <t>이노로보틱스</t>
        </is>
      </c>
      <c r="D9" s="17" t="inlineStr">
        <is>
          <t>코봇 base 좌표 ↔ 도면 좌표 정합(T_A_B) 현장 검증</t>
        </is>
      </c>
      <c r="E9" s="17" t="inlineStr">
        <is>
          <t>T_A_B 정합 오차가 T_W_D 오차와 누적되어 촬영 지점이 FOV를 벗어남</t>
        </is>
      </c>
      <c r="F9" s="17" t="inlineStr">
        <is>
          <t>촬영 실패, 또는 인접 지점을 찍고 성공으로 기록되는 조용한 오검사</t>
        </is>
      </c>
      <c r="G9" s="16" t="n">
        <v>9</v>
      </c>
      <c r="H9" s="17" t="inlineStr">
        <is>
          <t>전체 오차 예산(error budget)이 T_W_D·T_A_B·코봇 반복정밀도에 배분되지 않음</t>
        </is>
      </c>
      <c r="I9" s="16" t="n">
        <v>6</v>
      </c>
      <c r="J9" s="17" t="inlineStr">
        <is>
          <t>없음 — 각 변환을 개별적으로만 관리</t>
        </is>
      </c>
      <c r="K9" s="17" t="inlineStr">
        <is>
          <t>없음 — 누적 오차를 실측하는 합동 시험이 없음</t>
        </is>
      </c>
      <c r="L9" s="16" t="n">
        <v>8</v>
      </c>
      <c r="M9" s="16">
        <f>G9*I9*L9</f>
        <v/>
      </c>
      <c r="N9" s="18">
        <f>IF(G9&gt;=9,IF(I9&gt;=6,"H",IF(I9&gt;=4,IF(L9&gt;=2,"H","M"),IF(I9&gt;=2,IF(L9&gt;=7,"H",IF(L9&gt;=2,"M","L")),"L"))),IF(G9&gt;=7,IF(I9&gt;=8,IF(L9&gt;=2,"H","M"),IF(I9&gt;=6,IF(L9&gt;=5,"H","M"),IF(I9&gt;=4,IF(L9&gt;=7,"H",IF(L9&gt;=2,"M","L")),IF(I9&gt;=2,IF(L9&gt;=5,"M","L"),"L")))),IF(G9&gt;=4,IF(I9&gt;=8,IF(L9&gt;=7,"H",IF(L9&gt;=2,"M","L")),IF(I9&gt;=6,IF(L9&gt;=5,"M","L"),IF(I9&gt;=4,IF(L9&gt;=7,"M","L"),"L"))),IF(G9&gt;=2,IF(I9&gt;=8,IF(L9&gt;=7,"M","L"),"L"),"L"))))</f>
        <v/>
      </c>
      <c r="O9" s="17" t="inlineStr">
        <is>
          <t>전체 허용 오차를 먼저 정하고 세 요소에 예산 배분. 누적 오차 실측을 현장 검증 항목으로 등재.</t>
        </is>
      </c>
      <c r="P9" s="16" t="inlineStr">
        <is>
          <t>Pre-POC 진행시</t>
        </is>
      </c>
      <c r="Q9" s="16" t="n"/>
      <c r="R9" s="16" t="n"/>
      <c r="S9" s="16" t="n"/>
      <c r="T9" s="16" t="n"/>
      <c r="U9" s="16" t="n"/>
    </row>
    <row r="10" ht="54" customFormat="1" customHeight="1" s="33">
      <c r="A10" s="30" t="inlineStr">
        <is>
          <t>R02-2</t>
        </is>
      </c>
      <c r="B10" s="30" t="n">
        <v>2</v>
      </c>
      <c r="C10" s="30" t="inlineStr">
        <is>
          <t>이노로보틱스</t>
        </is>
      </c>
      <c r="D10" s="31" t="inlineStr">
        <is>
          <t>코봇 정합 상태의 가시성</t>
        </is>
      </c>
      <c r="E10" s="31" t="inlineStr">
        <is>
          <t>코봇 정합이 HD_AMR 책임 영역이라 ACS가 상태·최근 수행 시각을 알 수 없음</t>
        </is>
      </c>
      <c r="F10" s="31" t="inlineStr">
        <is>
          <t>오차 원인이 ACS인지 로봇인지 구분 불가 → 현장 책임 공방과 조치 지연</t>
        </is>
      </c>
      <c r="G10" s="30" t="n">
        <v>6</v>
      </c>
      <c r="H10" s="31" t="inlineStr">
        <is>
          <t>인터페이스가 VDA 5050 단일이며 정합 상태를 보고받는 필드가 없음</t>
        </is>
      </c>
      <c r="I10" s="30" t="n">
        <v>7</v>
      </c>
      <c r="J10" s="31" t="inlineStr">
        <is>
          <t>없음</t>
        </is>
      </c>
      <c r="K10" s="31" t="inlineStr">
        <is>
          <t>없음</t>
        </is>
      </c>
      <c r="L10" s="30" t="n">
        <v>8</v>
      </c>
      <c r="M10" s="30">
        <f>G10*I10*L10</f>
        <v/>
      </c>
      <c r="N10" s="32">
        <f>IF(G10&gt;=9,IF(I10&gt;=6,"H",IF(I10&gt;=4,IF(L10&gt;=2,"H","M"),IF(I10&gt;=2,IF(L10&gt;=7,"H",IF(L10&gt;=2,"M","L")),"L"))),IF(G10&gt;=7,IF(I10&gt;=8,IF(L10&gt;=2,"H","M"),IF(I10&gt;=6,IF(L10&gt;=5,"H","M"),IF(I10&gt;=4,IF(L10&gt;=7,"H",IF(L10&gt;=2,"M","L")),IF(I10&gt;=2,IF(L10&gt;=5,"M","L"),"L")))),IF(G10&gt;=4,IF(I10&gt;=8,IF(L10&gt;=7,"H",IF(L10&gt;=2,"M","L")),IF(I10&gt;=6,IF(L10&gt;=5,"M","L"),IF(I10&gt;=4,IF(L10&gt;=7,"M","L"),"L"))),IF(G10&gt;=2,IF(I10&gt;=8,IF(L10&gt;=7,"M","L"),"L"),"L"))))</f>
        <v/>
      </c>
      <c r="O10" s="31" t="inlineStr">
        <is>
          <t>로봇 state에 정합 상태·최근 캘리브레이션 시각을 실을 수 있는지 협의. 불가 시 최소한 현장 점검 기록 양식을 합의해 종이로라도 남길 것.</t>
        </is>
      </c>
      <c r="P10" s="30" t="inlineStr">
        <is>
          <t>연동 사양 확정 전</t>
        </is>
      </c>
      <c r="Q10" s="30" t="n"/>
      <c r="R10" s="30" t="n"/>
      <c r="S10" s="30" t="n"/>
      <c r="T10" s="30" t="n"/>
      <c r="U10" s="30" t="n"/>
    </row>
    <row r="11" ht="36" customHeight="1" s="6">
      <c r="A11" s="16" t="inlineStr">
        <is>
          <t>R03-1</t>
        </is>
      </c>
      <c r="B11" s="16" t="n">
        <v>3</v>
      </c>
      <c r="C11" s="16" t="inlineStr">
        <is>
          <t>이노로보틱스</t>
        </is>
      </c>
      <c r="D11" s="17" t="inlineStr">
        <is>
          <t>ACS 명령 좌표 → 아덴트 AMR Task TagName 매핑</t>
        </is>
      </c>
      <c r="E11" s="17" t="inlineStr">
        <is>
          <t>TagName 목록 수동 입력 중 누락·오타</t>
        </is>
      </c>
      <c r="F11" s="17" t="inlineStr">
        <is>
          <t>해당 지점 주행 명령 실패</t>
        </is>
      </c>
      <c r="G11" s="16" t="n">
        <v>5</v>
      </c>
      <c r="H11" s="17" t="inlineStr">
        <is>
          <t>TagName List 자동 입력 인터페이스 부재</t>
        </is>
      </c>
      <c r="I11" s="16" t="n">
        <v>6</v>
      </c>
      <c r="J11" s="17" t="inlineStr">
        <is>
          <t>없음</t>
        </is>
      </c>
      <c r="K11" s="17" t="inlineStr">
        <is>
          <t>주행 명령 실패로 즉시 드러남</t>
        </is>
      </c>
      <c r="L11" s="16" t="n">
        <v>3</v>
      </c>
      <c r="M11" s="16">
        <f>G11*I11*L11</f>
        <v/>
      </c>
      <c r="N11" s="18">
        <f>IF(G11&gt;=9,IF(I11&gt;=6,"H",IF(I11&gt;=4,IF(L11&gt;=2,"H","M"),IF(I11&gt;=2,IF(L11&gt;=7,"H",IF(L11&gt;=2,"M","L")),"L"))),IF(G11&gt;=7,IF(I11&gt;=8,IF(L11&gt;=2,"H","M"),IF(I11&gt;=6,IF(L11&gt;=5,"H","M"),IF(I11&gt;=4,IF(L11&gt;=7,"H",IF(L11&gt;=2,"M","L")),IF(I11&gt;=2,IF(L11&gt;=5,"M","L"),"L")))),IF(G11&gt;=4,IF(I11&gt;=8,IF(L11&gt;=7,"H",IF(L11&gt;=2,"M","L")),IF(I11&gt;=6,IF(L11&gt;=5,"M","L"),IF(I11&gt;=4,IF(L11&gt;=7,"M","L"),"L"))),IF(G11&gt;=2,IF(I11&gt;=8,IF(L11&gt;=7,"M","L"),"L"),"L"))))</f>
        <v/>
      </c>
      <c r="O11" s="17" t="inlineStr">
        <is>
          <t>TagName List 자동 입력 인터페이스 추가. 그전까지는 등록 후 전수 대조 스크립트로 확인.</t>
        </is>
      </c>
      <c r="P11" s="16" t="inlineStr">
        <is>
          <t>즉시</t>
        </is>
      </c>
      <c r="Q11" s="16" t="inlineStr">
        <is>
          <t>김성곤</t>
        </is>
      </c>
      <c r="R11" s="16" t="n"/>
      <c r="S11" s="16" t="n"/>
      <c r="T11" s="16" t="n"/>
      <c r="U11" s="16" t="n"/>
    </row>
    <row r="12" ht="36" customHeight="1" s="6">
      <c r="A12" s="16" t="inlineStr">
        <is>
          <t>R03-2</t>
        </is>
      </c>
      <c r="B12" s="16" t="n">
        <v>3</v>
      </c>
      <c r="C12" s="16" t="inlineStr">
        <is>
          <t>이노로보틱스</t>
        </is>
      </c>
      <c r="D12" s="17" t="inlineStr">
        <is>
          <t>좌표 변경 시 TagName 동기화</t>
        </is>
      </c>
      <c r="E12" s="17" t="inlineStr">
        <is>
          <t>좌표는 갱신됐는데 TagName이 옛 좌표를 가리킴</t>
        </is>
      </c>
      <c r="F12" s="17" t="inlineStr">
        <is>
          <t>엉뚱한 위치로 주행 — 실패가 아니라 '잘못된 성공'</t>
        </is>
      </c>
      <c r="G12" s="16" t="n">
        <v>8</v>
      </c>
      <c r="H12" s="17" t="inlineStr">
        <is>
          <t>좌표 변경 시 TagName 재생성을 강제하는 규약이 없음</t>
        </is>
      </c>
      <c r="I12" s="16" t="n">
        <v>4</v>
      </c>
      <c r="J12" s="17" t="inlineStr">
        <is>
          <t>없음</t>
        </is>
      </c>
      <c r="K12" s="17" t="inlineStr">
        <is>
          <t>없음 — 주행은 정상 완료되므로 오류로 보이지 않음</t>
        </is>
      </c>
      <c r="L12" s="16" t="n">
        <v>7</v>
      </c>
      <c r="M12" s="16">
        <f>G12*I12*L12</f>
        <v/>
      </c>
      <c r="N12" s="18">
        <f>IF(G12&gt;=9,IF(I12&gt;=6,"H",IF(I12&gt;=4,IF(L12&gt;=2,"H","M"),IF(I12&gt;=2,IF(L12&gt;=7,"H",IF(L12&gt;=2,"M","L")),"L"))),IF(G12&gt;=7,IF(I12&gt;=8,IF(L12&gt;=2,"H","M"),IF(I12&gt;=6,IF(L12&gt;=5,"H","M"),IF(I12&gt;=4,IF(L12&gt;=7,"H",IF(L12&gt;=2,"M","L")),IF(I12&gt;=2,IF(L12&gt;=5,"M","L"),"L")))),IF(G12&gt;=4,IF(I12&gt;=8,IF(L12&gt;=7,"H",IF(L12&gt;=2,"M","L")),IF(I12&gt;=6,IF(L12&gt;=5,"M","L"),IF(I12&gt;=4,IF(L12&gt;=7,"M","L"),"L"))),IF(G12&gt;=2,IF(I12&gt;=8,IF(L12&gt;=7,"M","L"),"L"),"L"))))</f>
        <v/>
      </c>
      <c r="O12" s="17" t="inlineStr">
        <is>
          <t>좌표 변경 시 TagName 재생성을 강제하는 절차 또는 버전 태깅. 자동 입력 인터페이스가 생기면 함께 해소.</t>
        </is>
      </c>
      <c r="P12" s="16" t="inlineStr">
        <is>
          <t>POC 실행 전</t>
        </is>
      </c>
      <c r="Q12" s="16" t="inlineStr">
        <is>
          <t>김성곤</t>
        </is>
      </c>
      <c r="R12" s="16" t="n"/>
      <c r="S12" s="16" t="n"/>
      <c r="T12" s="16" t="n"/>
      <c r="U12" s="16" t="n"/>
    </row>
    <row r="13" ht="36" customHeight="1" s="6">
      <c r="A13" s="16" t="inlineStr">
        <is>
          <t>R04-1</t>
        </is>
      </c>
      <c r="B13" s="16" t="n">
        <v>4</v>
      </c>
      <c r="C13" s="16" t="inlineStr">
        <is>
          <t>이노로보틱스</t>
        </is>
      </c>
      <c r="D13" s="17" t="inlineStr">
        <is>
          <t>AREA 기준 선창 분할 — 검사 커버리지 확보</t>
        </is>
      </c>
      <c r="E13" s="17" t="inlineStr">
        <is>
          <t>영역 사이에 검사되지 않는 틈이 남음</t>
        </is>
      </c>
      <c r="F13" s="17" t="inlineStr">
        <is>
          <t>용접선 일부가 미검사인데 진행률은 100%로 보고됨</t>
        </is>
      </c>
      <c r="G13" s="16" t="n">
        <v>9</v>
      </c>
      <c r="H13" s="17" t="inlineStr">
        <is>
          <t>분할이 사람 작업이고 커버리지를 확인할 수단이 없음</t>
        </is>
      </c>
      <c r="I13" s="16" t="n">
        <v>6</v>
      </c>
      <c r="J13" s="17" t="inlineStr">
        <is>
          <t>없음</t>
        </is>
      </c>
      <c r="K13" s="17" t="inlineStr">
        <is>
          <t>등록 화면·전개도 육안 확인만 — 좁은 틈은 눈에 띄지 않음</t>
        </is>
      </c>
      <c r="L13" s="16" t="n">
        <v>9</v>
      </c>
      <c r="M13" s="16">
        <f>G13*I13*L13</f>
        <v/>
      </c>
      <c r="N13" s="18">
        <f>IF(G13&gt;=9,IF(I13&gt;=6,"H",IF(I13&gt;=4,IF(L13&gt;=2,"H","M"),IF(I13&gt;=2,IF(L13&gt;=7,"H",IF(L13&gt;=2,"M","L")),"L"))),IF(G13&gt;=7,IF(I13&gt;=8,IF(L13&gt;=2,"H","M"),IF(I13&gt;=6,IF(L13&gt;=5,"H","M"),IF(I13&gt;=4,IF(L13&gt;=7,"H",IF(L13&gt;=2,"M","L")),IF(I13&gt;=2,IF(L13&gt;=5,"M","L"),"L")))),IF(G13&gt;=4,IF(I13&gt;=8,IF(L13&gt;=7,"H",IF(L13&gt;=2,"M","L")),IF(I13&gt;=6,IF(L13&gt;=5,"M","L"),IF(I13&gt;=4,IF(L13&gt;=7,"M","L"),"L"))),IF(G13&gt;=2,IF(I13&gt;=8,IF(L13&gt;=7,"M","L"),"L"),"L"))))</f>
        <v/>
      </c>
      <c r="O13" s="17" t="inlineStr">
        <is>
          <t>면별 용접선 총 연장 대비 등록 TASK 연장 합계를 자동 대조하는 커버리지 리포트 신설. 임계 미만이면 Run 시작 경고.</t>
        </is>
      </c>
      <c r="P13" s="16" t="inlineStr">
        <is>
          <t>즉시</t>
        </is>
      </c>
      <c r="Q13" s="16" t="inlineStr">
        <is>
          <t>김성곤</t>
        </is>
      </c>
      <c r="R13" s="16" t="n"/>
      <c r="S13" s="16" t="n"/>
      <c r="T13" s="16" t="n"/>
      <c r="U13" s="16" t="n"/>
    </row>
    <row r="14">
      <c r="A14" s="16" t="inlineStr">
        <is>
          <t>R04-2</t>
        </is>
      </c>
      <c r="B14" s="16" t="n">
        <v>4</v>
      </c>
      <c r="C14" s="16" t="inlineStr">
        <is>
          <t>이노로보틱스</t>
        </is>
      </c>
      <c r="D14" s="17" t="inlineStr">
        <is>
          <t>AREA 분할 — 중복 방지</t>
        </is>
      </c>
      <c r="E14" s="17" t="inlineStr">
        <is>
          <t>영역이 겹쳐 같은 용접선을 중복 검사</t>
        </is>
      </c>
      <c r="F14" s="17" t="inlineStr">
        <is>
          <t>검사 시간 낭비, 진행률·이미지 중복</t>
        </is>
      </c>
      <c r="G14" s="16" t="n">
        <v>4</v>
      </c>
      <c r="H14" s="17" t="inlineStr">
        <is>
          <t>기하 중첩을 검사하지 않음(이름 중복만 검사)</t>
        </is>
      </c>
      <c r="I14" s="16" t="n">
        <v>5</v>
      </c>
      <c r="J14" s="17" t="inlineStr">
        <is>
          <t>이름 중복 409 거부</t>
        </is>
      </c>
      <c r="K14" s="17" t="inlineStr">
        <is>
          <t>없음</t>
        </is>
      </c>
      <c r="L14" s="16" t="n">
        <v>6</v>
      </c>
      <c r="M14" s="16">
        <f>G14*I14*L14</f>
        <v/>
      </c>
      <c r="N14" s="18">
        <f>IF(G14&gt;=9,IF(I14&gt;=6,"H",IF(I14&gt;=4,IF(L14&gt;=2,"H","M"),IF(I14&gt;=2,IF(L14&gt;=7,"H",IF(L14&gt;=2,"M","L")),"L"))),IF(G14&gt;=7,IF(I14&gt;=8,IF(L14&gt;=2,"H","M"),IF(I14&gt;=6,IF(L14&gt;=5,"H","M"),IF(I14&gt;=4,IF(L14&gt;=7,"H",IF(L14&gt;=2,"M","L")),IF(I14&gt;=2,IF(L14&gt;=5,"M","L"),"L")))),IF(G14&gt;=4,IF(I14&gt;=8,IF(L14&gt;=7,"H",IF(L14&gt;=2,"M","L")),IF(I14&gt;=6,IF(L14&gt;=5,"M","L"),IF(I14&gt;=4,IF(L14&gt;=7,"M","L"),"L"))),IF(G14&gt;=2,IF(I14&gt;=8,IF(L14&gt;=7,"M","L"),"L"),"L"))))</f>
        <v/>
      </c>
      <c r="O14" s="17" t="inlineStr">
        <is>
          <t>등록 시 기하 중첩 경고 추가.</t>
        </is>
      </c>
      <c r="P14" s="16" t="inlineStr">
        <is>
          <t>POC 실행 전</t>
        </is>
      </c>
      <c r="Q14" s="16" t="inlineStr">
        <is>
          <t>지현우</t>
        </is>
      </c>
      <c r="R14" s="16" t="n"/>
      <c r="S14" s="16" t="n"/>
      <c r="T14" s="16" t="n"/>
      <c r="U14" s="16" t="n"/>
    </row>
    <row r="15" ht="36" customHeight="1" s="6">
      <c r="A15" s="16" t="inlineStr">
        <is>
          <t>R04-3</t>
        </is>
      </c>
      <c r="B15" s="16" t="n">
        <v>4</v>
      </c>
      <c r="C15" s="16" t="inlineStr">
        <is>
          <t>이노로보틱스</t>
        </is>
      </c>
      <c r="D15" s="17" t="inlineStr">
        <is>
          <t>AREA 분할 — 코봇 도달성</t>
        </is>
      </c>
      <c r="E15" s="17" t="inlineStr">
        <is>
          <t>영역이 정차 위치에서 코봇이 도달할 수 없는 범위를 포함</t>
        </is>
      </c>
      <c r="F15" s="17" t="inlineStr">
        <is>
          <t>해당 TASK가 반복 실패 후 스킵 → 미검사 구간 발생</t>
        </is>
      </c>
      <c r="G15" s="16" t="n">
        <v>7</v>
      </c>
      <c r="H15" s="17" t="inlineStr">
        <is>
          <t>정차점=영역 중심 규칙만 있고 코봇 도달 반경 검증이 없음</t>
        </is>
      </c>
      <c r="I15" s="16" t="n">
        <v>6</v>
      </c>
      <c r="J15" s="17" t="inlineStr">
        <is>
          <t>없음</t>
        </is>
      </c>
      <c r="K15" s="17" t="inlineStr">
        <is>
          <t>실행 중 실패로만 드러남 — 그때는 이미 현장</t>
        </is>
      </c>
      <c r="L15" s="16" t="n">
        <v>6</v>
      </c>
      <c r="M15" s="16">
        <f>G15*I15*L15</f>
        <v/>
      </c>
      <c r="N15" s="18">
        <f>IF(G15&gt;=9,IF(I15&gt;=6,"H",IF(I15&gt;=4,IF(L15&gt;=2,"H","M"),IF(I15&gt;=2,IF(L15&gt;=7,"H",IF(L15&gt;=2,"M","L")),"L"))),IF(G15&gt;=7,IF(I15&gt;=8,IF(L15&gt;=2,"H","M"),IF(I15&gt;=6,IF(L15&gt;=5,"H","M"),IF(I15&gt;=4,IF(L15&gt;=7,"H",IF(L15&gt;=2,"M","L")),IF(I15&gt;=2,IF(L15&gt;=5,"M","L"),"L")))),IF(G15&gt;=4,IF(I15&gt;=8,IF(L15&gt;=7,"H",IF(L15&gt;=2,"M","L")),IF(I15&gt;=6,IF(L15&gt;=5,"M","L"),IF(I15&gt;=4,IF(L15&gt;=7,"M","L"),"L"))),IF(G15&gt;=2,IF(I15&gt;=8,IF(L15&gt;=7,"M","L"),"L"),"L"))))</f>
        <v/>
      </c>
      <c r="O15" s="17" t="inlineStr">
        <is>
          <t>등록 시 영역 크기를 코봇 도달 반경 상한으로 제한하는 검증 규칙 추가. 상한값 확인.</t>
        </is>
      </c>
      <c r="P15" s="16" t="inlineStr">
        <is>
          <t>실기 시험 전</t>
        </is>
      </c>
      <c r="Q15" s="16" t="inlineStr">
        <is>
          <t>지현우</t>
        </is>
      </c>
      <c r="R15" s="16" t="n"/>
      <c r="S15" s="16" t="n"/>
      <c r="T15" s="16" t="n"/>
      <c r="U15" s="16" t="n"/>
    </row>
    <row r="16">
      <c r="A16" s="34" t="inlineStr">
        <is>
          <t>R04-4</t>
        </is>
      </c>
      <c r="B16" s="34" t="n">
        <v>4</v>
      </c>
      <c r="C16" s="34" t="inlineStr">
        <is>
          <t>이노로보틱스</t>
        </is>
      </c>
      <c r="D16" s="35" t="inlineStr">
        <is>
          <t>AREA 분할 결과의 검토·승인</t>
        </is>
      </c>
      <c r="E16" s="35" t="inlineStr">
        <is>
          <t>분할 결과를 아무도 검토·승인하지 않음</t>
        </is>
      </c>
      <c r="F16" s="35" t="inlineStr">
        <is>
          <t>커버리지 틈·중첩·도달 불가가 그대로 현장으로 감</t>
        </is>
      </c>
      <c r="G16" s="34" t="n">
        <v>7</v>
      </c>
      <c r="H16" s="35" t="inlineStr">
        <is>
          <t>검토·승인 절차와 책임자가 정해지지 않음</t>
        </is>
      </c>
      <c r="I16" s="34" t="n">
        <v>7</v>
      </c>
      <c r="J16" s="35" t="inlineStr">
        <is>
          <t>없음</t>
        </is>
      </c>
      <c r="K16" s="35" t="inlineStr">
        <is>
          <t>없음</t>
        </is>
      </c>
      <c r="L16" s="34" t="n">
        <v>8</v>
      </c>
      <c r="M16" s="34">
        <f>G16*I16*L16</f>
        <v/>
      </c>
      <c r="N16" s="36">
        <f>IF(G16&gt;=9,IF(I16&gt;=6,"H",IF(I16&gt;=4,IF(L16&gt;=2,"H","M"),IF(I16&gt;=2,IF(L16&gt;=7,"H",IF(L16&gt;=2,"M","L")),"L"))),IF(G16&gt;=7,IF(I16&gt;=8,IF(L16&gt;=2,"H","M"),IF(I16&gt;=6,IF(L16&gt;=5,"H","M"),IF(I16&gt;=4,IF(L16&gt;=7,"H",IF(L16&gt;=2,"M","L")),IF(I16&gt;=2,IF(L16&gt;=5,"M","L"),"L")))),IF(G16&gt;=4,IF(I16&gt;=8,IF(L16&gt;=7,"H",IF(L16&gt;=2,"M","L")),IF(I16&gt;=6,IF(L16&gt;=5,"M","L"),IF(I16&gt;=4,IF(L16&gt;=7,"M","L"),"L"))),IF(G16&gt;=2,IF(I16&gt;=8,IF(L16&gt;=7,"M","L"),"L"),"L"))))</f>
        <v/>
      </c>
      <c r="O16" s="35" t="inlineStr">
        <is>
          <t>추후 검토 승인 절차 필요할 것</t>
        </is>
      </c>
      <c r="P16" s="34" t="inlineStr">
        <is>
          <t>즉시</t>
        </is>
      </c>
      <c r="Q16" s="34" t="n"/>
      <c r="R16" s="16" t="n"/>
      <c r="S16" s="16" t="n"/>
      <c r="T16" s="16" t="n"/>
      <c r="U16" s="16" t="n"/>
    </row>
    <row r="17" ht="36" customHeight="1" s="6">
      <c r="A17" s="34" t="inlineStr">
        <is>
          <t>R05-1</t>
        </is>
      </c>
      <c r="B17" s="34" t="n">
        <v>5</v>
      </c>
      <c r="C17" s="34" t="inlineStr">
        <is>
          <t>이노로보틱스</t>
        </is>
      </c>
      <c r="D17" s="35" t="inlineStr">
        <is>
          <t>리뷰카메라 용접라인 탐색</t>
        </is>
      </c>
      <c r="E17" s="35" t="inlineStr">
        <is>
          <t>반사·암부로 용접라인 미검출 → 촬영 실패 반복</t>
        </is>
      </c>
      <c r="F17" s="35" t="inlineStr">
        <is>
          <t>재시도 소진 후 스킵. 검사 누락 + 현장 시간 손실</t>
        </is>
      </c>
      <c r="G17" s="34" t="n">
        <v>7</v>
      </c>
      <c r="H17" s="35" t="inlineStr">
        <is>
          <t>멤브레인 스테인리스 표면 반사와 선창 내 조명 불균일. 조명 조건 사양 부재</t>
        </is>
      </c>
      <c r="I17" s="34" t="n">
        <v>7</v>
      </c>
      <c r="J17" s="35" t="inlineStr">
        <is>
          <t>없음 — 조명 사양 미정</t>
        </is>
      </c>
      <c r="K17" s="35" t="inlineStr">
        <is>
          <t>재시도/스킵 정책으로 실패 자체는 드러남</t>
        </is>
      </c>
      <c r="L17" s="34" t="n">
        <v>5</v>
      </c>
      <c r="M17" s="34">
        <f>G17*I17*L17</f>
        <v/>
      </c>
      <c r="N17" s="36">
        <f>IF(G17&gt;=9,IF(I17&gt;=6,"H",IF(I17&gt;=4,IF(L17&gt;=2,"H","M"),IF(I17&gt;=2,IF(L17&gt;=7,"H",IF(L17&gt;=2,"M","L")),"L"))),IF(G17&gt;=7,IF(I17&gt;=8,IF(L17&gt;=2,"H","M"),IF(I17&gt;=6,IF(L17&gt;=5,"H","M"),IF(I17&gt;=4,IF(L17&gt;=7,"H",IF(L17&gt;=2,"M","L")),IF(I17&gt;=2,IF(L17&gt;=5,"M","L"),"L")))),IF(G17&gt;=4,IF(I17&gt;=8,IF(L17&gt;=7,"H",IF(L17&gt;=2,"M","L")),IF(I17&gt;=6,IF(L17&gt;=5,"M","L"),IF(I17&gt;=4,IF(L17&gt;=7,"M","L"),"L"))),IF(G17&gt;=2,IF(I17&gt;=8,IF(L17&gt;=7,"M","L"),"L"),"L"))))</f>
        <v/>
      </c>
      <c r="O17" s="35" t="inlineStr">
        <is>
          <t>대표 조건(밝은 곳/어두운 곳/직반사)에서 사전 촬영 시험 수행. 보조 조명 사양을 그 결과로 확정.</t>
        </is>
      </c>
      <c r="P17" s="34" t="inlineStr">
        <is>
          <t>실기 시험 전</t>
        </is>
      </c>
      <c r="Q17" s="34" t="inlineStr">
        <is>
          <t>1차 시험 완료</t>
        </is>
      </c>
      <c r="R17" s="16" t="n"/>
      <c r="S17" s="16" t="n"/>
      <c r="T17" s="16" t="n"/>
      <c r="U17" s="16" t="n"/>
    </row>
    <row r="18" ht="54" customHeight="1" s="6">
      <c r="A18" s="16" t="inlineStr">
        <is>
          <t>R05-2</t>
        </is>
      </c>
      <c r="B18" s="16" t="n">
        <v>5</v>
      </c>
      <c r="C18" s="16" t="inlineStr">
        <is>
          <t>이노로보틱스</t>
        </is>
      </c>
      <c r="D18" s="17" t="inlineStr">
        <is>
          <t>리뷰카메라 용접라인 탐색 — 대상 정확성</t>
        </is>
      </c>
      <c r="E18" s="17" t="inlineStr">
        <is>
          <t>탐색은 성공했으나 인접한 다른 용접선을 잡음</t>
        </is>
      </c>
      <c r="F18" s="17" t="inlineStr">
        <is>
          <t>다른 구간을 검사하고 성공으로 기록 — 조용한 오검사</t>
        </is>
      </c>
      <c r="G18" s="16" t="n">
        <v>9</v>
      </c>
      <c r="H18" s="17" t="inlineStr">
        <is>
          <t>같은 면에 나란한 용접선이 여러 개. taskId 귀속은 되나 실제 촬영 대상이 맞는지는 검증되지 않음</t>
        </is>
      </c>
      <c r="I18" s="16" t="n">
        <v>5</v>
      </c>
      <c r="J18" s="17" t="inlineStr">
        <is>
          <t>없음</t>
        </is>
      </c>
      <c r="K18" s="17" t="inlineStr">
        <is>
          <t>없음 — 이미지가 그럴듯해 사후에도 알기 어려움</t>
        </is>
      </c>
      <c r="L18" s="16" t="n">
        <v>9</v>
      </c>
      <c r="M18" s="16">
        <f>G18*I18*L18</f>
        <v/>
      </c>
      <c r="N18" s="18">
        <f>IF(G18&gt;=9,IF(I18&gt;=6,"H",IF(I18&gt;=4,IF(L18&gt;=2,"H","M"),IF(I18&gt;=2,IF(L18&gt;=7,"H",IF(L18&gt;=2,"M","L")),"L"))),IF(G18&gt;=7,IF(I18&gt;=8,IF(L18&gt;=2,"H","M"),IF(I18&gt;=6,IF(L18&gt;=5,"H","M"),IF(I18&gt;=4,IF(L18&gt;=7,"H",IF(L18&gt;=2,"M","L")),IF(I18&gt;=2,IF(L18&gt;=5,"M","L"),"L")))),IF(G18&gt;=4,IF(I18&gt;=8,IF(L18&gt;=7,"H",IF(L18&gt;=2,"M","L")),IF(I18&gt;=6,IF(L18&gt;=5,"M","L"),IF(I18&gt;=4,IF(L18&gt;=7,"M","L"),"L"))),IF(G18&gt;=2,IF(I18&gt;=8,IF(L18&gt;=7,"M","L"),"L"),"L"))))</f>
        <v/>
      </c>
      <c r="O18" s="17" t="inlineStr">
        <is>
          <t>촬영 메타의 (u,v)와 TASK 용접선 구간 사이 거리 편차를 서버에서 자동 대조해 임계 초과 시 경고·플래그.</t>
        </is>
      </c>
      <c r="P18" s="16" t="inlineStr">
        <is>
          <t>Pre-POC 진행시</t>
        </is>
      </c>
      <c r="Q18" s="16" t="inlineStr">
        <is>
          <t>김성곤</t>
        </is>
      </c>
      <c r="R18" s="16" t="n"/>
      <c r="S18" s="16" t="n"/>
      <c r="T18" s="16" t="n"/>
      <c r="U18" s="16" t="n"/>
    </row>
    <row r="19" ht="36" customHeight="1" s="6">
      <c r="A19" s="34" t="inlineStr">
        <is>
          <t>R06-1</t>
        </is>
      </c>
      <c r="B19" s="34" t="n">
        <v>6</v>
      </c>
      <c r="C19" s="34" t="inlineStr">
        <is>
          <t>이노로보틱스</t>
        </is>
      </c>
      <c r="D19" s="35" t="inlineStr">
        <is>
          <t>비전 촬영 품질 확보</t>
        </is>
      </c>
      <c r="E19" s="35" t="inlineStr">
        <is>
          <t>초점이 이탈한 이미지가 '촬영 성공'으로 기록됨</t>
        </is>
      </c>
      <c r="F19" s="35" t="inlineStr">
        <is>
          <t>판정 불가 이미지가 검사 완료로 집계되어 재작업 시점을 놓침</t>
        </is>
      </c>
      <c r="G19" s="34" t="n">
        <v>8</v>
      </c>
      <c r="H19" s="35" t="inlineStr">
        <is>
          <t>촬영 성공/실패 응답이 초점 품질을 반영하지 않음 — ACS는 성공/실패만 수신</t>
        </is>
      </c>
      <c r="I19" s="34" t="n">
        <v>6</v>
      </c>
      <c r="J19" s="35" t="inlineStr">
        <is>
          <t>없음</t>
        </is>
      </c>
      <c r="K19" s="35" t="inlineStr">
        <is>
          <t>없음 — 이미지 품질을 볼 수 있는 것은 세이지뿐이고 ACS로 되돌아오는 경로가 없음</t>
        </is>
      </c>
      <c r="L19" s="34" t="n">
        <v>9</v>
      </c>
      <c r="M19" s="34">
        <f>G19*I19*L19</f>
        <v/>
      </c>
      <c r="N19" s="36">
        <f>IF(G19&gt;=9,IF(I19&gt;=6,"H",IF(I19&gt;=4,IF(L19&gt;=2,"H","M"),IF(I19&gt;=2,IF(L19&gt;=7,"H",IF(L19&gt;=2,"M","L")),"L"))),IF(G19&gt;=7,IF(I19&gt;=8,IF(L19&gt;=2,"H","M"),IF(I19&gt;=6,IF(L19&gt;=5,"H","M"),IF(I19&gt;=4,IF(L19&gt;=7,"H",IF(L19&gt;=2,"M","L")),IF(I19&gt;=2,IF(L19&gt;=5,"M","L"),"L")))),IF(G19&gt;=4,IF(I19&gt;=8,IF(L19&gt;=7,"H",IF(L19&gt;=2,"M","L")),IF(I19&gt;=6,IF(L19&gt;=5,"M","L"),IF(I19&gt;=4,IF(L19&gt;=7,"M","L"),"L"))),IF(G19&gt;=2,IF(I19&gt;=8,IF(L19&gt;=7,"M","L"),"L"),"L"))))</f>
        <v/>
      </c>
      <c r="O19" s="35" t="inlineStr">
        <is>
          <t>비전 측이 초점 품질 지표를 결과 코드에 반영할 수 있는지 협의. 불가하면 세이지 판정 결과를 ACS가 역으로 받는 경로를 검토.</t>
        </is>
      </c>
      <c r="P19" s="34" t="inlineStr">
        <is>
          <t>연동 사양 확정 전</t>
        </is>
      </c>
      <c r="Q19" s="34" t="n"/>
      <c r="R19" s="16" t="n"/>
      <c r="S19" s="16" t="n"/>
      <c r="T19" s="16" t="n"/>
      <c r="U19" s="16" t="n"/>
    </row>
    <row r="20" ht="36" customHeight="1" s="6">
      <c r="A20" s="16" t="inlineStr">
        <is>
          <t>R06-2</t>
        </is>
      </c>
      <c r="B20" s="16" t="n">
        <v>6</v>
      </c>
      <c r="C20" s="16" t="inlineStr">
        <is>
          <t>이노로보틱스</t>
        </is>
      </c>
      <c r="D20" s="17" t="inlineStr">
        <is>
          <t>수동 용접부 높이 편차 대응 범위 정의</t>
        </is>
      </c>
      <c r="E20" s="17" t="inlineStr">
        <is>
          <t>높이 편차 범위가 사양으로 정의되지 않음</t>
        </is>
      </c>
      <c r="F20" s="17" t="inlineStr">
        <is>
          <t>어느 정도까지 대응해야 하는지 몰라 광학계·대책 수립이 불가</t>
        </is>
      </c>
      <c r="G20" s="16" t="n">
        <v>6</v>
      </c>
      <c r="H20" s="17" t="inlineStr">
        <is>
          <t>수동 용접부 높이 편차 실측 데이터가 없음</t>
        </is>
      </c>
      <c r="I20" s="16" t="n">
        <v>7</v>
      </c>
      <c r="J20" s="17" t="inlineStr">
        <is>
          <t>없음</t>
        </is>
      </c>
      <c r="K20" s="17" t="inlineStr">
        <is>
          <t>없음</t>
        </is>
      </c>
      <c r="L20" s="16" t="n">
        <v>6</v>
      </c>
      <c r="M20" s="16">
        <f>G20*I20*L20</f>
        <v/>
      </c>
      <c r="N20" s="18">
        <f>IF(G20&gt;=9,IF(I20&gt;=6,"H",IF(I20&gt;=4,IF(L20&gt;=2,"H","M"),IF(I20&gt;=2,IF(L20&gt;=7,"H",IF(L20&gt;=2,"M","L")),"L"))),IF(G20&gt;=7,IF(I20&gt;=8,IF(L20&gt;=2,"H","M"),IF(I20&gt;=6,IF(L20&gt;=5,"H","M"),IF(I20&gt;=4,IF(L20&gt;=7,"H",IF(L20&gt;=2,"M","L")),IF(I20&gt;=2,IF(L20&gt;=5,"M","L"),"L")))),IF(G20&gt;=4,IF(I20&gt;=8,IF(L20&gt;=7,"H",IF(L20&gt;=2,"M","L")),IF(I20&gt;=6,IF(L20&gt;=5,"M","L"),IF(I20&gt;=4,IF(L20&gt;=7,"M","L"),"L"))),IF(G20&gt;=2,IF(I20&gt;=8,IF(L20&gt;=7,"M","L"),"L"),"L"))))</f>
        <v/>
      </c>
      <c r="O20" s="17" t="inlineStr">
        <is>
          <t>대표 시편에서 편차를 실측</t>
        </is>
      </c>
      <c r="P20" s="16" t="inlineStr">
        <is>
          <t>즉시</t>
        </is>
      </c>
      <c r="Q20" s="16" t="inlineStr">
        <is>
          <t>김성곤</t>
        </is>
      </c>
      <c r="R20" s="16" t="n"/>
      <c r="S20" s="16" t="n"/>
      <c r="T20" s="16" t="n"/>
      <c r="U20" s="16" t="n"/>
    </row>
    <row r="21" ht="36" customHeight="1" s="6">
      <c r="A21" s="16" t="inlineStr">
        <is>
          <t>R07-1</t>
        </is>
      </c>
      <c r="B21" s="16" t="n">
        <v>7</v>
      </c>
      <c r="C21" s="16" t="inlineStr">
        <is>
          <t>이노로보틱스</t>
        </is>
      </c>
      <c r="D21" s="17" t="inlineStr">
        <is>
          <t>Area·TASK 등록 공수 산정</t>
        </is>
      </c>
      <c r="E21" s="17" t="inlineStr">
        <is>
          <t>선창 1개 등록에 예상보다 훨씬 오래 걸려 POC 일정 초과</t>
        </is>
      </c>
      <c r="F21" s="17" t="inlineStr">
        <is>
          <t>검사 시작 전 준비 단계에서 일정 지연</t>
        </is>
      </c>
      <c r="G21" s="16" t="n">
        <v>6</v>
      </c>
      <c r="H21" s="17" t="inlineStr">
        <is>
          <t>등록 소요시간이 측정된 적 없음</t>
        </is>
      </c>
      <c r="I21" s="16" t="n">
        <v>6</v>
      </c>
      <c r="J21" s="17" t="inlineStr">
        <is>
          <t>없음</t>
        </is>
      </c>
      <c r="K21" s="17" t="inlineStr">
        <is>
          <t>첫 실측에서 드러남</t>
        </is>
      </c>
      <c r="L21" s="16" t="n">
        <v>5</v>
      </c>
      <c r="M21" s="16">
        <f>G21*I21*L21</f>
        <v/>
      </c>
      <c r="N21" s="18">
        <f>IF(G21&gt;=9,IF(I21&gt;=6,"H",IF(I21&gt;=4,IF(L21&gt;=2,"H","M"),IF(I21&gt;=2,IF(L21&gt;=7,"H",IF(L21&gt;=2,"M","L")),"L"))),IF(G21&gt;=7,IF(I21&gt;=8,IF(L21&gt;=2,"H","M"),IF(I21&gt;=6,IF(L21&gt;=5,"H","M"),IF(I21&gt;=4,IF(L21&gt;=7,"H",IF(L21&gt;=2,"M","L")),IF(I21&gt;=2,IF(L21&gt;=5,"M","L"),"L")))),IF(G21&gt;=4,IF(I21&gt;=8,IF(L21&gt;=7,"H",IF(L21&gt;=2,"M","L")),IF(I21&gt;=6,IF(L21&gt;=5,"M","L"),IF(I21&gt;=4,IF(L21&gt;=7,"M","L"),"L"))),IF(G21&gt;=2,IF(I21&gt;=8,IF(L21&gt;=7,"M","L"),"L"),"L"))))</f>
        <v/>
      </c>
      <c r="O21" s="17" t="inlineStr">
        <is>
          <t>대표 면 1개를 실제로 등록해 시간을 측정하고 전체로 외삽. 반복 구간의 자동화 여지도 함께 평가.</t>
        </is>
      </c>
      <c r="P21" s="16" t="inlineStr">
        <is>
          <t>POC 실행 전</t>
        </is>
      </c>
      <c r="Q21" s="16" t="inlineStr">
        <is>
          <t>김성곤</t>
        </is>
      </c>
      <c r="R21" s="16" t="n"/>
      <c r="S21" s="16" t="n"/>
      <c r="T21" s="16" t="n"/>
      <c r="U21" s="16" t="n"/>
    </row>
    <row r="22" ht="36" customHeight="1" s="6">
      <c r="A22" s="16" t="inlineStr">
        <is>
          <t>R07-2</t>
        </is>
      </c>
      <c r="B22" s="16" t="n">
        <v>7</v>
      </c>
      <c r="C22" s="16" t="inlineStr">
        <is>
          <t>이노로보틱스</t>
        </is>
      </c>
      <c r="D22" s="17" t="inlineStr">
        <is>
          <t>등록 공수의 사업성 영향</t>
        </is>
      </c>
      <c r="E22" s="17" t="inlineStr">
        <is>
          <t>등록 공수가 커서 선박마다 반복 시 사업성이 훼손됨</t>
        </is>
      </c>
      <c r="F22" s="17" t="inlineStr">
        <is>
          <t>POC는 통과하나 양산 적용 단계에서 거부</t>
        </is>
      </c>
      <c r="G22" s="16" t="n">
        <v>7</v>
      </c>
      <c r="H22" s="17" t="inlineStr">
        <is>
          <t>도면에서 용접선을 자동 추출하는 경로(seam 슬라이싱)가 dormant 상태</t>
        </is>
      </c>
      <c r="I22" s="16" t="n">
        <v>5</v>
      </c>
      <c r="J22" s="17" t="inlineStr">
        <is>
          <t>없음</t>
        </is>
      </c>
      <c r="K22" s="17" t="inlineStr">
        <is>
          <t>없음 — 양산 검토 시점에야 드러남</t>
        </is>
      </c>
      <c r="L22" s="16" t="n">
        <v>7</v>
      </c>
      <c r="M22" s="16">
        <f>G22*I22*L22</f>
        <v/>
      </c>
      <c r="N22" s="18">
        <f>IF(G22&gt;=9,IF(I22&gt;=6,"H",IF(I22&gt;=4,IF(L22&gt;=2,"H","M"),IF(I22&gt;=2,IF(L22&gt;=7,"H",IF(L22&gt;=2,"M","L")),"L"))),IF(G22&gt;=7,IF(I22&gt;=8,IF(L22&gt;=2,"H","M"),IF(I22&gt;=6,IF(L22&gt;=5,"H","M"),IF(I22&gt;=4,IF(L22&gt;=7,"H",IF(L22&gt;=2,"M","L")),IF(I22&gt;=2,IF(L22&gt;=5,"M","L"),"L")))),IF(G22&gt;=4,IF(I22&gt;=8,IF(L22&gt;=7,"H",IF(L22&gt;=2,"M","L")),IF(I22&gt;=6,IF(L22&gt;=5,"M","L"),IF(I22&gt;=4,IF(L22&gt;=7,"M","L"),"L"))),IF(G22&gt;=2,IF(I22&gt;=8,IF(L22&gt;=7,"M","L"),"L"),"L"))))</f>
        <v/>
      </c>
      <c r="O22" s="17" t="inlineStr">
        <is>
          <t>POC 단계에서 공수 데이터를 반드시 확보해, 도면 자동 추출 재개 여부를 근거를 갖고 판단할 수 있게 할 것.</t>
        </is>
      </c>
      <c r="P22" s="16" t="inlineStr">
        <is>
          <t>양산 검토 시</t>
        </is>
      </c>
      <c r="Q22" s="16" t="n"/>
      <c r="R22" s="16" t="n"/>
      <c r="S22" s="16" t="n"/>
      <c r="T22" s="16" t="n"/>
      <c r="U22" s="16" t="n"/>
    </row>
    <row r="23" ht="36" customHeight="1" s="6">
      <c r="A23" s="16" t="inlineStr">
        <is>
          <t>R08-1</t>
        </is>
      </c>
      <c r="B23" s="16" t="n">
        <v>8</v>
      </c>
      <c r="C23" s="16" t="inlineStr">
        <is>
          <t>이노로보틱스</t>
        </is>
      </c>
      <c r="D23" s="17" t="inlineStr">
        <is>
          <t>1회 Run 완주 가능성</t>
        </is>
      </c>
      <c r="E23" s="17" t="inlineStr">
        <is>
          <t>Run 도중 배터리 소진으로 검사 중단</t>
        </is>
      </c>
      <c r="F23" s="17" t="inlineStr">
        <is>
          <t>검사 중단. 재개 절차가 없어 처음부터 재실행</t>
        </is>
      </c>
      <c r="G23" s="16" t="n">
        <v>7</v>
      </c>
      <c r="H23" s="17" t="inlineStr">
        <is>
          <t>Run이 선창 전체를 1회로 전개하는 구조인데 소요시간·배터리 지속시간 모두 미산정</t>
        </is>
      </c>
      <c r="I23" s="16" t="n">
        <v>6</v>
      </c>
      <c r="J23" s="17" t="inlineStr">
        <is>
          <t>없음</t>
        </is>
      </c>
      <c r="K23" s="17" t="inlineStr">
        <is>
          <t>없음 — 실제로 겪어야 드러남</t>
        </is>
      </c>
      <c r="L23" s="16" t="n">
        <v>5</v>
      </c>
      <c r="M23" s="16">
        <f>G23*I23*L23</f>
        <v/>
      </c>
      <c r="N23" s="18">
        <f>IF(G23&gt;=9,IF(I23&gt;=6,"H",IF(I23&gt;=4,IF(L23&gt;=2,"H","M"),IF(I23&gt;=2,IF(L23&gt;=7,"H",IF(L23&gt;=2,"M","L")),"L"))),IF(G23&gt;=7,IF(I23&gt;=8,IF(L23&gt;=2,"H","M"),IF(I23&gt;=6,IF(L23&gt;=5,"H","M"),IF(I23&gt;=4,IF(L23&gt;=7,"H",IF(L23&gt;=2,"M","L")),IF(I23&gt;=2,IF(L23&gt;=5,"M","L"),"L")))),IF(G23&gt;=4,IF(I23&gt;=8,IF(L23&gt;=7,"H",IF(L23&gt;=2,"M","L")),IF(I23&gt;=6,IF(L23&gt;=5,"M","L"),IF(I23&gt;=4,IF(L23&gt;=7,"M","L"),"L"))),IF(G23&gt;=2,IF(I23&gt;=8,IF(L23&gt;=7,"M","L"),"L"),"L"))))</f>
        <v/>
      </c>
      <c r="O23" s="17" t="inlineStr">
        <is>
          <t>POC 단계에서는 유선 충전과 베터리 구동 두가지로 모두 구동할 수 있도록 구성한다.</t>
        </is>
      </c>
      <c r="P23" s="16" t="inlineStr">
        <is>
          <t>POC 실행 전</t>
        </is>
      </c>
      <c r="Q23" s="16" t="inlineStr">
        <is>
          <t>이노로보틱스</t>
        </is>
      </c>
      <c r="R23" s="16" t="n"/>
      <c r="S23" s="16" t="n"/>
      <c r="T23" s="16" t="n"/>
      <c r="U23" s="16" t="n"/>
    </row>
    <row r="24" ht="36" customHeight="1" s="6">
      <c r="A24" s="16" t="inlineStr">
        <is>
          <t>R08-2</t>
        </is>
      </c>
      <c r="B24" s="16" t="n">
        <v>8</v>
      </c>
      <c r="C24" s="16" t="inlineStr">
        <is>
          <t>이노로보틱스</t>
        </is>
      </c>
      <c r="D24" s="17" t="inlineStr">
        <is>
          <t>Run 중단·재개 시 상태 정합</t>
        </is>
      </c>
      <c r="E24" s="17" t="inlineStr">
        <is>
          <t>충전 후 재개 시 이미 완료한 TASK를 다시 수행하거나 건너뜀</t>
        </is>
      </c>
      <c r="F24" s="17" t="inlineStr">
        <is>
          <t>중복 검사 또는 미검사 구간 발생</t>
        </is>
      </c>
      <c r="G24" s="16" t="n">
        <v>8</v>
      </c>
      <c r="H24" s="17" t="inlineStr">
        <is>
          <t>중단·재개 경로가 설계·검증되지 않음</t>
        </is>
      </c>
      <c r="I24" s="16" t="n">
        <v>5</v>
      </c>
      <c r="J24" s="17" t="inlineStr">
        <is>
          <t>work_item 상태 기반 큐</t>
        </is>
      </c>
      <c r="K24" s="17" t="inlineStr">
        <is>
          <t>없음 — 재개 경로 자체가 시험된 적 없음</t>
        </is>
      </c>
      <c r="L24" s="16" t="n">
        <v>6</v>
      </c>
      <c r="M24" s="16">
        <f>G24*I24*L24</f>
        <v/>
      </c>
      <c r="N24" s="18">
        <f>IF(G24&gt;=9,IF(I24&gt;=6,"H",IF(I24&gt;=4,IF(L24&gt;=2,"H","M"),IF(I24&gt;=2,IF(L24&gt;=7,"H",IF(L24&gt;=2,"M","L")),"L"))),IF(G24&gt;=7,IF(I24&gt;=8,IF(L24&gt;=2,"H","M"),IF(I24&gt;=6,IF(L24&gt;=5,"H","M"),IF(I24&gt;=4,IF(L24&gt;=7,"H",IF(L24&gt;=2,"M","L")),IF(I24&gt;=2,IF(L24&gt;=5,"M","L"),"L")))),IF(G24&gt;=4,IF(I24&gt;=8,IF(L24&gt;=7,"H",IF(L24&gt;=2,"M","L")),IF(I24&gt;=6,IF(L24&gt;=5,"M","L"),IF(I24&gt;=4,IF(L24&gt;=7,"M","L"),"L"))),IF(G24&gt;=2,IF(I24&gt;=8,IF(L24&gt;=7,"M","L"),"L"),"L"))))</f>
        <v/>
      </c>
      <c r="O24" s="17" t="inlineStr">
        <is>
          <t>재개 시 work_item 상태만을 근거로 재전개하도록 설계하고, 중단·재개를 E2E 시험 항목에 포함.</t>
        </is>
      </c>
      <c r="P24" s="16" t="inlineStr">
        <is>
          <t>즉시</t>
        </is>
      </c>
      <c r="Q24" s="16" t="inlineStr">
        <is>
          <t>지현우</t>
        </is>
      </c>
      <c r="R24" s="16" t="n"/>
      <c r="S24" s="16" t="n"/>
      <c r="T24" s="16" t="n"/>
      <c r="U24" s="16" t="n"/>
    </row>
    <row r="25" ht="36" customHeight="1" s="6">
      <c r="A25" s="16" t="inlineStr">
        <is>
          <t>R09-1</t>
        </is>
      </c>
      <c r="B25" s="16" t="n">
        <v>9</v>
      </c>
      <c r="C25" s="16" t="inlineStr">
        <is>
          <t>ALL</t>
        </is>
      </c>
      <c r="D25" s="17" t="inlineStr">
        <is>
          <t>3면·4면 시트 용접라인 검사 방법 확정</t>
        </is>
      </c>
      <c r="E25" s="17" t="inlineStr">
        <is>
          <t>검사 방법이 확정되지 않아 개발 착수 불가</t>
        </is>
      </c>
      <c r="F25" s="17" t="inlineStr">
        <is>
          <t>일정 임계경로 — 확정 지연이 그대로 납기 지연</t>
        </is>
      </c>
      <c r="G25" s="16" t="n">
        <v>8</v>
      </c>
      <c r="H25" s="17" t="inlineStr">
        <is>
          <t>사양 확정 주체와 목표 시점이 정해지지 않음</t>
        </is>
      </c>
      <c r="I25" s="16" t="n">
        <v>8</v>
      </c>
      <c r="J25" s="17" t="inlineStr">
        <is>
          <t>없음</t>
        </is>
      </c>
      <c r="K25" s="17" t="inlineStr">
        <is>
          <t>지연은 눈에 보임</t>
        </is>
      </c>
      <c r="L25" s="16" t="n">
        <v>4</v>
      </c>
      <c r="M25" s="16">
        <f>G25*I25*L25</f>
        <v/>
      </c>
      <c r="N25" s="18">
        <f>IF(G25&gt;=9,IF(I25&gt;=6,"H",IF(I25&gt;=4,IF(L25&gt;=2,"H","M"),IF(I25&gt;=2,IF(L25&gt;=7,"H",IF(L25&gt;=2,"M","L")),"L"))),IF(G25&gt;=7,IF(I25&gt;=8,IF(L25&gt;=2,"H","M"),IF(I25&gt;=6,IF(L25&gt;=5,"H","M"),IF(I25&gt;=4,IF(L25&gt;=7,"H",IF(L25&gt;=2,"M","L")),IF(I25&gt;=2,IF(L25&gt;=5,"M","L"),"L")))),IF(G25&gt;=4,IF(I25&gt;=8,IF(L25&gt;=7,"H",IF(L25&gt;=2,"M","L")),IF(I25&gt;=6,IF(L25&gt;=5,"M","L"),IF(I25&gt;=4,IF(L25&gt;=7,"M","L"),"L"))),IF(G25&gt;=2,IF(I25&gt;=8,IF(L25&gt;=7,"M","L"),"L"),"L"))))</f>
        <v/>
      </c>
      <c r="O25" s="17" t="inlineStr">
        <is>
          <t>확정 주체와 목표일을 명시. 목표일 초과 시 POC 범위에서 제외한다는 조건부 결정을 미리 합의해 둘 것.</t>
        </is>
      </c>
      <c r="P25" s="16" t="inlineStr">
        <is>
          <t>즉시</t>
        </is>
      </c>
      <c r="Q25" s="16" t="n"/>
      <c r="R25" s="16" t="n"/>
      <c r="S25" s="16" t="n"/>
      <c r="T25" s="16" t="n"/>
      <c r="U25" s="16" t="n"/>
    </row>
    <row r="26" ht="36" customHeight="1" s="6">
      <c r="A26" s="16" t="inlineStr">
        <is>
          <t>R09-2</t>
        </is>
      </c>
      <c r="B26" s="16" t="n">
        <v>9</v>
      </c>
      <c r="C26" s="16" t="inlineStr">
        <is>
          <t>ALL</t>
        </is>
      </c>
      <c r="D26" s="17" t="inlineStr">
        <is>
          <t>3면·4면 시트 — 기존 인터페이스 수용성</t>
        </is>
      </c>
      <c r="E26" s="17" t="inlineStr">
        <is>
          <t>방법은 확정됐으나 촬영 인터페이스·좌표 규약 변경을 수반</t>
        </is>
      </c>
      <c r="F26" s="17" t="inlineStr">
        <is>
          <t>막 확정한 v3 인터페이스를 다시 개정 → 3자 재시험</t>
        </is>
      </c>
      <c r="G26" s="16" t="n">
        <v>7</v>
      </c>
      <c r="H26" s="17" t="inlineStr">
        <is>
          <t>3/4면 시트가 기존 (u,v,h) 규약으로 표현 가능한지 미확인</t>
        </is>
      </c>
      <c r="I26" s="16" t="n">
        <v>5</v>
      </c>
      <c r="J26" s="17" t="inlineStr">
        <is>
          <t>없음</t>
        </is>
      </c>
      <c r="K26" s="17" t="inlineStr">
        <is>
          <t>없음 — 개발 착수 후에야 드러남</t>
        </is>
      </c>
      <c r="L26" s="16" t="n">
        <v>6</v>
      </c>
      <c r="M26" s="16">
        <f>G26*I26*L26</f>
        <v/>
      </c>
      <c r="N26" s="18">
        <f>IF(G26&gt;=9,IF(I26&gt;=6,"H",IF(I26&gt;=4,IF(L26&gt;=2,"H","M"),IF(I26&gt;=2,IF(L26&gt;=7,"H",IF(L26&gt;=2,"M","L")),"L"))),IF(G26&gt;=7,IF(I26&gt;=8,IF(L26&gt;=2,"H","M"),IF(I26&gt;=6,IF(L26&gt;=5,"H","M"),IF(I26&gt;=4,IF(L26&gt;=7,"H",IF(L26&gt;=2,"M","L")),IF(I26&gt;=2,IF(L26&gt;=5,"M","L"),"L")))),IF(G26&gt;=4,IF(I26&gt;=8,IF(L26&gt;=7,"H",IF(L26&gt;=2,"M","L")),IF(I26&gt;=6,IF(L26&gt;=5,"M","L"),IF(I26&gt;=4,IF(L26&gt;=7,"M","L"),"L"))),IF(G26&gt;=2,IF(I26&gt;=8,IF(L26&gt;=7,"M","L"),"L"),"L"))))</f>
        <v/>
      </c>
      <c r="O26" s="17" t="inlineStr">
        <is>
          <t>방법 검토 단계에서 '기존 인터페이스로 표현 가능한가'를 필수 선행 검토 항목으로 지정.</t>
        </is>
      </c>
      <c r="P26" s="16" t="inlineStr">
        <is>
          <t>연동 사양 확정 전</t>
        </is>
      </c>
      <c r="Q26" s="16" t="n"/>
      <c r="R26" s="16" t="n"/>
      <c r="S26" s="16" t="n"/>
      <c r="T26" s="16" t="n"/>
      <c r="U26" s="16" t="n"/>
    </row>
    <row r="27" ht="36" customHeight="1" s="6">
      <c r="A27" s="16" t="inlineStr">
        <is>
          <t>R10-1</t>
        </is>
      </c>
      <c r="B27" s="16" t="n">
        <v>10</v>
      </c>
      <c r="C27" s="16" t="inlineStr">
        <is>
          <t>ALL</t>
        </is>
      </c>
      <c r="D27" s="17" t="inlineStr">
        <is>
          <t>덧붙임 시트 검사 위치 정의</t>
        </is>
      </c>
      <c r="E27" s="17" t="inlineStr">
        <is>
          <t>검사 위치 정의 방식이 기존 Area/TASK 모델로 표현되지 않음</t>
        </is>
      </c>
      <c r="F27" s="17" t="inlineStr">
        <is>
          <t>데이터 모델 변경 → ACS·세이지 연동 사양 재개정</t>
        </is>
      </c>
      <c r="G27" s="16" t="n">
        <v>8</v>
      </c>
      <c r="H27" s="17" t="inlineStr">
        <is>
          <t>덧붙임 시트는 검사 위치를 찾아가는 방법 자체가 새로움</t>
        </is>
      </c>
      <c r="I27" s="16" t="n">
        <v>6</v>
      </c>
      <c r="J27" s="17" t="inlineStr">
        <is>
          <t>없음</t>
        </is>
      </c>
      <c r="K27" s="17" t="inlineStr">
        <is>
          <t>없음 — 설계 착수 후 드러남</t>
        </is>
      </c>
      <c r="L27" s="16" t="n">
        <v>7</v>
      </c>
      <c r="M27" s="16">
        <f>G27*I27*L27</f>
        <v/>
      </c>
      <c r="N27" s="18">
        <f>IF(G27&gt;=9,IF(I27&gt;=6,"H",IF(I27&gt;=4,IF(L27&gt;=2,"H","M"),IF(I27&gt;=2,IF(L27&gt;=7,"H",IF(L27&gt;=2,"M","L")),"L"))),IF(G27&gt;=7,IF(I27&gt;=8,IF(L27&gt;=2,"H","M"),IF(I27&gt;=6,IF(L27&gt;=5,"H","M"),IF(I27&gt;=4,IF(L27&gt;=7,"H",IF(L27&gt;=2,"M","L")),IF(I27&gt;=2,IF(L27&gt;=5,"M","L"),"L")))),IF(G27&gt;=4,IF(I27&gt;=8,IF(L27&gt;=7,"H",IF(L27&gt;=2,"M","L")),IF(I27&gt;=6,IF(L27&gt;=5,"M","L"),IF(I27&gt;=4,IF(L27&gt;=7,"M","L"),"L"))),IF(G27&gt;=2,IF(I27&gt;=8,IF(L27&gt;=7,"M","L"),"L"),"L"))))</f>
        <v/>
      </c>
      <c r="O27" s="17" t="inlineStr">
        <is>
          <t>모델 영향도를 먼저 3분류(기존 모델 수용 / 확장 필요 / 신규 필요)로 평가한 뒤 일정을 산정.</t>
        </is>
      </c>
      <c r="P27" s="16" t="inlineStr">
        <is>
          <t>즉시</t>
        </is>
      </c>
      <c r="Q27" s="16" t="n"/>
      <c r="R27" s="16" t="n"/>
      <c r="S27" s="16" t="n"/>
      <c r="T27" s="16" t="n"/>
      <c r="U27" s="16" t="n"/>
    </row>
    <row r="28" ht="36" customHeight="1" s="6">
      <c r="A28" s="16" t="inlineStr">
        <is>
          <t>R10-2</t>
        </is>
      </c>
      <c r="B28" s="16" t="n">
        <v>10</v>
      </c>
      <c r="C28" s="16" t="inlineStr">
        <is>
          <t>ALL</t>
        </is>
      </c>
      <c r="D28" s="17" t="inlineStr">
        <is>
          <t>덧붙임 시트 — 촬영 인터페이스 영향</t>
        </is>
      </c>
      <c r="E28" s="17" t="inlineStr">
        <is>
          <t>촬영 인터페이스 추가로 v3 프레임 재개정 발생</t>
        </is>
      </c>
      <c r="F28" s="17" t="inlineStr">
        <is>
          <t>로봇·비전·세이지 동시 재배포 및 재시험</t>
        </is>
      </c>
      <c r="G28" s="16" t="n">
        <v>7</v>
      </c>
      <c r="H28" s="17" t="inlineStr">
        <is>
          <t>신규 촬영 유형이 현행 CAPTURE_REQ 필드로 표현되지 않을 가능성</t>
        </is>
      </c>
      <c r="I28" s="16" t="n">
        <v>5</v>
      </c>
      <c r="J28" s="17" t="inlineStr">
        <is>
          <t>DATA 길이 기반 버전 판별 폴백</t>
        </is>
      </c>
      <c r="K28" s="17" t="inlineStr">
        <is>
          <t>없음</t>
        </is>
      </c>
      <c r="L28" s="16" t="n">
        <v>5</v>
      </c>
      <c r="M28" s="16">
        <f>G28*I28*L28</f>
        <v/>
      </c>
      <c r="N28" s="18">
        <f>IF(G28&gt;=9,IF(I28&gt;=6,"H",IF(I28&gt;=4,IF(L28&gt;=2,"H","M"),IF(I28&gt;=2,IF(L28&gt;=7,"H",IF(L28&gt;=2,"M","L")),"L"))),IF(G28&gt;=7,IF(I28&gt;=8,IF(L28&gt;=2,"H","M"),IF(I28&gt;=6,IF(L28&gt;=5,"H","M"),IF(I28&gt;=4,IF(L28&gt;=7,"H",IF(L28&gt;=2,"M","L")),IF(I28&gt;=2,IF(L28&gt;=5,"M","L"),"L")))),IF(G28&gt;=4,IF(I28&gt;=8,IF(L28&gt;=7,"H",IF(L28&gt;=2,"M","L")),IF(I28&gt;=6,IF(L28&gt;=5,"M","L"),IF(I28&gt;=4,IF(L28&gt;=7,"M","L"),"L"))),IF(G28&gt;=2,IF(I28&gt;=8,IF(L28&gt;=7,"M","L"),"L"),"L"))))</f>
        <v/>
      </c>
      <c r="O28" s="17" t="inlineStr">
        <is>
          <t>필요한 추가 필드를 미리 식별해 v3 설계 시점에 예약 영역으로 반영.</t>
        </is>
      </c>
      <c r="P28" s="16" t="inlineStr">
        <is>
          <t>연동 사양 확정 전</t>
        </is>
      </c>
      <c r="Q28" s="16" t="n"/>
      <c r="R28" s="16" t="n"/>
      <c r="S28" s="16" t="n"/>
      <c r="T28" s="16" t="n"/>
      <c r="U28" s="16" t="n"/>
    </row>
    <row r="29" ht="36" customHeight="1" s="6">
      <c r="A29" s="16" t="inlineStr">
        <is>
          <t>R11-1</t>
        </is>
      </c>
      <c r="B29" s="16" t="n">
        <v>11</v>
      </c>
      <c r="C29" s="16" t="inlineStr">
        <is>
          <t>ALL</t>
        </is>
      </c>
      <c r="D29" s="17" t="inlineStr">
        <is>
          <t>진행률 연동 방식 확정 (세이지 Q6)</t>
        </is>
      </c>
      <c r="E29" s="17" t="inlineStr">
        <is>
          <t>폴링 클라이언트 구현 가능 여부가 회신되지 않아 ACS 구현 범위 미확정</t>
        </is>
      </c>
      <c r="F29" s="17" t="inlineStr">
        <is>
          <t>조회형/전송형 중 어느 쪽인지 몰라 착수 불가, 또는 양쪽을 모두 개발</t>
        </is>
      </c>
      <c r="G29" s="16" t="n">
        <v>7</v>
      </c>
      <c r="H29" s="17" t="inlineStr">
        <is>
          <t>세이지 회신 대기</t>
        </is>
      </c>
      <c r="I29" s="16" t="n">
        <v>7</v>
      </c>
      <c r="J29" s="17" t="inlineStr">
        <is>
          <t>없음</t>
        </is>
      </c>
      <c r="K29" s="17" t="inlineStr">
        <is>
          <t>미회신 상태는 보임</t>
        </is>
      </c>
      <c r="L29" s="16" t="n">
        <v>3</v>
      </c>
      <c r="M29" s="16">
        <f>G29*I29*L29</f>
        <v/>
      </c>
      <c r="N29" s="18">
        <f>IF(G29&gt;=9,IF(I29&gt;=6,"H",IF(I29&gt;=4,IF(L29&gt;=2,"H","M"),IF(I29&gt;=2,IF(L29&gt;=7,"H",IF(L29&gt;=2,"M","L")),"L"))),IF(G29&gt;=7,IF(I29&gt;=8,IF(L29&gt;=2,"H","M"),IF(I29&gt;=6,IF(L29&gt;=5,"H","M"),IF(I29&gt;=4,IF(L29&gt;=7,"H",IF(L29&gt;=2,"M","L")),IF(I29&gt;=2,IF(L29&gt;=5,"M","L"),"L")))),IF(G29&gt;=4,IF(I29&gt;=8,IF(L29&gt;=7,"H",IF(L29&gt;=2,"M","L")),IF(I29&gt;=6,IF(L29&gt;=5,"M","L"),IF(I29&gt;=4,IF(L29&gt;=7,"M","L"),"L"))),IF(G29&gt;=2,IF(I29&gt;=8,IF(L29&gt;=7,"M","L"),"L"),"L"))))</f>
        <v/>
      </c>
      <c r="O29" s="17" t="inlineStr">
        <is>
          <t>회신 기한을 정하고, 기한 초과 시 조회형으로 확정하며 전송형은 범위 외로 명시한다는 조건부 결정을 공유.</t>
        </is>
      </c>
      <c r="P29" s="16" t="inlineStr">
        <is>
          <t>즉시</t>
        </is>
      </c>
      <c r="Q29" s="16" t="n"/>
      <c r="R29" s="16" t="n"/>
      <c r="S29" s="16" t="n"/>
      <c r="T29" s="16" t="n"/>
      <c r="U29" s="16" t="n"/>
    </row>
    <row r="30" ht="36" customHeight="1" s="6">
      <c r="A30" s="34" t="inlineStr">
        <is>
          <t>R11-2</t>
        </is>
      </c>
      <c r="B30" s="34" t="n">
        <v>11</v>
      </c>
      <c r="C30" s="34" t="inlineStr">
        <is>
          <t>ALL</t>
        </is>
      </c>
      <c r="D30" s="35" t="inlineStr">
        <is>
          <t>열거값 정본 관리 (Surface Type)</t>
        </is>
      </c>
      <c r="E30" s="35" t="inlineStr">
        <is>
          <t>세이지 회신 간 상충(Corner 사용 여부)이 정리되지 않은 채 구현 진행</t>
        </is>
      </c>
      <c r="F30" s="35" t="inlineStr">
        <is>
          <t>열거값 해석 불일치 → 이미지 분류·판정 오류</t>
        </is>
      </c>
      <c r="G30" s="34" t="n">
        <v>7</v>
      </c>
      <c r="H30" s="35" t="inlineStr">
        <is>
          <t>08/21 회신과 08/25 회신이 서로 다름</t>
        </is>
      </c>
      <c r="I30" s="34" t="n">
        <v>6</v>
      </c>
      <c r="J30" s="35" t="inlineStr">
        <is>
          <t>정본 문서(surface_id_enum v1.0) 존재</t>
        </is>
      </c>
      <c r="K30" s="35" t="inlineStr">
        <is>
          <t>없음 — 값이 유효 범위 안이라 검증으로 걸리지 않음</t>
        </is>
      </c>
      <c r="L30" s="34" t="n">
        <v>6</v>
      </c>
      <c r="M30" s="34">
        <f>G30*I30*L30</f>
        <v/>
      </c>
      <c r="N30" s="36">
        <f>IF(G30&gt;=9,IF(I30&gt;=6,"H",IF(I30&gt;=4,IF(L30&gt;=2,"H","M"),IF(I30&gt;=2,IF(L30&gt;=7,"H",IF(L30&gt;=2,"M","L")),"L"))),IF(G30&gt;=7,IF(I30&gt;=8,IF(L30&gt;=2,"H","M"),IF(I30&gt;=6,IF(L30&gt;=5,"H","M"),IF(I30&gt;=4,IF(L30&gt;=7,"H",IF(L30&gt;=2,"M","L")),IF(I30&gt;=2,IF(L30&gt;=5,"M","L"),"L")))),IF(G30&gt;=4,IF(I30&gt;=8,IF(L30&gt;=7,"H",IF(L30&gt;=2,"M","L")),IF(I30&gt;=6,IF(L30&gt;=5,"M","L"),IF(I30&gt;=4,IF(L30&gt;=7,"M","L"),"L"))),IF(G30&gt;=2,IF(I30&gt;=8,IF(L30&gt;=7,"M","L"),"L"),"L"))))</f>
        <v/>
      </c>
      <c r="O30" s="35" t="inlineStr">
        <is>
          <t>정본 문서를 단일 기준으로 못 박고 값 변경은 개정 이력으로만 반영. 상충 항목은 회신 재요청.</t>
        </is>
      </c>
      <c r="P30" s="34" t="inlineStr">
        <is>
          <t>즉시</t>
        </is>
      </c>
      <c r="Q30" s="34" t="inlineStr">
        <is>
          <t>완료</t>
        </is>
      </c>
      <c r="R30" s="16" t="n"/>
      <c r="S30" s="16" t="n"/>
      <c r="T30" s="16" t="n"/>
      <c r="U30" s="16" t="n"/>
    </row>
    <row r="31" ht="36" customHeight="1" s="6">
      <c r="A31" s="34" t="inlineStr">
        <is>
          <t>R11-3</t>
        </is>
      </c>
      <c r="B31" s="34" t="n">
        <v>11</v>
      </c>
      <c r="C31" s="34" t="inlineStr">
        <is>
          <t>ALL</t>
        </is>
      </c>
      <c r="D31" s="35" t="inlineStr">
        <is>
          <t>층 번호 체계 정렬</t>
        </is>
      </c>
      <c r="E31" s="35" t="inlineStr">
        <is>
          <t>0-based / 1-based 정렬이 확정되지 않은 채 양측 구현</t>
        </is>
      </c>
      <c r="F31" s="35" t="inlineStr">
        <is>
          <t>세이지 화면 층 표시가 한 단씩 어긋나 검사 위치가 오귀속됨</t>
        </is>
      </c>
      <c r="G31" s="34" t="n">
        <v>8</v>
      </c>
      <c r="H31" s="35" t="inlineStr">
        <is>
          <t>HD_ACS는 1-based, 세이지 질의서는 0단 표기. 정렬 회신 대기</t>
        </is>
      </c>
      <c r="I31" s="34" t="n">
        <v>6</v>
      </c>
      <c r="J31" s="35" t="inlineStr">
        <is>
          <t>없음</t>
        </is>
      </c>
      <c r="K31" s="35" t="inlineStr">
        <is>
          <t>없음 — 숫자가 그럴듯해 화면만 봐서는 알 수 없음</t>
        </is>
      </c>
      <c r="L31" s="34" t="n">
        <v>7</v>
      </c>
      <c r="M31" s="34">
        <f>G31*I31*L31</f>
        <v/>
      </c>
      <c r="N31" s="36">
        <f>IF(G31&gt;=9,IF(I31&gt;=6,"H",IF(I31&gt;=4,IF(L31&gt;=2,"H","M"),IF(I31&gt;=2,IF(L31&gt;=7,"H",IF(L31&gt;=2,"M","L")),"L"))),IF(G31&gt;=7,IF(I31&gt;=8,IF(L31&gt;=2,"H","M"),IF(I31&gt;=6,IF(L31&gt;=5,"H","M"),IF(I31&gt;=4,IF(L31&gt;=7,"H",IF(L31&gt;=2,"M","L")),IF(I31&gt;=2,IF(L31&gt;=5,"M","L"),"L")))),IF(G31&gt;=4,IF(I31&gt;=8,IF(L31&gt;=7,"H",IF(L31&gt;=2,"M","L")),IF(I31&gt;=6,IF(L31&gt;=5,"M","L"),IF(I31&gt;=4,IF(L31&gt;=7,"M","L"),"L"))),IF(G31&gt;=2,IF(I31&gt;=8,IF(L31&gt;=7,"M","L"),"L"),"L"))))</f>
        <v/>
      </c>
      <c r="O31" s="35" t="inlineStr">
        <is>
          <t>정렬 방식을 회신으로 확정하고, 확정 전까지 mapId 예시를 포함한 샘플 데이터로 양측 상호 확인.</t>
        </is>
      </c>
      <c r="P31" s="34" t="inlineStr">
        <is>
          <t>즉시</t>
        </is>
      </c>
      <c r="Q31" s="34" t="inlineStr">
        <is>
          <t>완료</t>
        </is>
      </c>
      <c r="R31" s="16" t="n"/>
      <c r="S31" s="16" t="n"/>
      <c r="T31" s="16" t="n"/>
      <c r="U31" s="16" t="n"/>
    </row>
    <row r="32" ht="36" customHeight="1" s="6">
      <c r="A32" s="16" t="inlineStr">
        <is>
          <t>R11-4</t>
        </is>
      </c>
      <c r="B32" s="16" t="n">
        <v>11</v>
      </c>
      <c r="C32" s="16" t="inlineStr">
        <is>
          <t>ALL</t>
        </is>
      </c>
      <c r="D32" s="17" t="inlineStr">
        <is>
          <t>인터페이스 개정의 3자 동기화</t>
        </is>
      </c>
      <c r="E32" s="17" t="inlineStr">
        <is>
          <t>Surface ID → Wall ID 개정이 시스템별로 비동기 적용됨</t>
        </is>
      </c>
      <c r="F32" s="17" t="inlineStr">
        <is>
          <t>일부 시스템만 개정되어 값 해석 불일치</t>
        </is>
      </c>
      <c r="G32" s="16" t="n">
        <v>7</v>
      </c>
      <c r="H32" s="17" t="inlineStr">
        <is>
          <t>개정 시점과 적용 순서가 합의되지 않음</t>
        </is>
      </c>
      <c r="I32" s="16" t="n">
        <v>5</v>
      </c>
      <c r="J32" s="17" t="inlineStr">
        <is>
          <t>없음</t>
        </is>
      </c>
      <c r="K32" s="17" t="inlineStr">
        <is>
          <t>없음</t>
        </is>
      </c>
      <c r="L32" s="16" t="n">
        <v>6</v>
      </c>
      <c r="M32" s="16">
        <f>G32*I32*L32</f>
        <v/>
      </c>
      <c r="N32" s="18">
        <f>IF(G32&gt;=9,IF(I32&gt;=6,"H",IF(I32&gt;=4,IF(L32&gt;=2,"H","M"),IF(I32&gt;=2,IF(L32&gt;=7,"H",IF(L32&gt;=2,"M","L")),"L"))),IF(G32&gt;=7,IF(I32&gt;=8,IF(L32&gt;=2,"H","M"),IF(I32&gt;=6,IF(L32&gt;=5,"H","M"),IF(I32&gt;=4,IF(L32&gt;=7,"H",IF(L32&gt;=2,"M","L")),IF(I32&gt;=2,IF(L32&gt;=5,"M","L"),"L")))),IF(G32&gt;=4,IF(I32&gt;=8,IF(L32&gt;=7,"H",IF(L32&gt;=2,"M","L")),IF(I32&gt;=6,IF(L32&gt;=5,"M","L"),IF(I32&gt;=4,IF(L32&gt;=7,"M","L"),"L"))),IF(G32&gt;=2,IF(I32&gt;=8,IF(L32&gt;=7,"M","L"),"L"),"L"))))</f>
        <v/>
      </c>
      <c r="O32" s="17" t="inlineStr">
        <is>
          <t>개정 적용일을 하나로 못 박고, 그 날짜 전후로 양쪽 값을 모두 수용하는 과도기 처리를 합의.</t>
        </is>
      </c>
      <c r="P32" s="16" t="inlineStr">
        <is>
          <t>연동 사양 확정 전</t>
        </is>
      </c>
      <c r="Q32" s="16" t="inlineStr">
        <is>
          <t>김성곤</t>
        </is>
      </c>
      <c r="R32" s="16" t="n"/>
      <c r="S32" s="16" t="n"/>
      <c r="T32" s="16" t="n"/>
      <c r="U32" s="16" t="n"/>
    </row>
    <row r="33" ht="36" customHeight="1" s="6">
      <c r="A33" s="37" t="inlineStr">
        <is>
          <t>R12-1</t>
        </is>
      </c>
      <c r="B33" s="37" t="n">
        <v>12</v>
      </c>
      <c r="C33" s="37" t="inlineStr">
        <is>
          <t>ALL</t>
        </is>
      </c>
      <c r="D33" s="38" t="inlineStr">
        <is>
          <t>선창 내 무선 통신 품질 확보</t>
        </is>
      </c>
      <c r="E33" s="38" t="inlineStr">
        <is>
          <t>선창 내 AP 음영으로 로봇 통신 두절이 빈발</t>
        </is>
      </c>
      <c r="F33" s="38" t="inlineStr">
        <is>
          <t>두절 중 진행분 동기화 문제 + 진행률 신뢰도 저하</t>
        </is>
      </c>
      <c r="G33" s="37" t="n">
        <v>7</v>
      </c>
      <c r="H33" s="38" t="inlineStr">
        <is>
          <t>금속 밀폐 공간이며 AP 배치가 검토되지 않음</t>
        </is>
      </c>
      <c r="I33" s="37" t="n">
        <v>7</v>
      </c>
      <c r="J33" s="38" t="inlineStr">
        <is>
          <t>두절 내성 설계(로봇이 두절 중에도 검사 계속)</t>
        </is>
      </c>
      <c r="K33" s="38" t="inlineStr">
        <is>
          <t>연결 상태는 보이나 음영 지점은 사전에 알 수 없음</t>
        </is>
      </c>
      <c r="L33" s="37" t="n">
        <v>5</v>
      </c>
      <c r="M33" s="37">
        <f>G33*I33*L33</f>
        <v/>
      </c>
      <c r="N33" s="39">
        <f>IF(G33&gt;=9,IF(I33&gt;=6,"H",IF(I33&gt;=4,IF(L33&gt;=2,"H","M"),IF(I33&gt;=2,IF(L33&gt;=7,"H",IF(L33&gt;=2,"M","L")),"L"))),IF(G33&gt;=7,IF(I33&gt;=8,IF(L33&gt;=2,"H","M"),IF(I33&gt;=6,IF(L33&gt;=5,"H","M"),IF(I33&gt;=4,IF(L33&gt;=7,"H",IF(L33&gt;=2,"M","L")),IF(I33&gt;=2,IF(L33&gt;=5,"M","L"),"L")))),IF(G33&gt;=4,IF(I33&gt;=8,IF(L33&gt;=7,"H",IF(L33&gt;=2,"M","L")),IF(I33&gt;=6,IF(L33&gt;=5,"M","L"),IF(I33&gt;=4,IF(L33&gt;=7,"M","L"),"L"))),IF(G33&gt;=2,IF(I33&gt;=8,IF(L33&gt;=7,"M","L"),"L"),"L"))))</f>
        <v/>
      </c>
      <c r="O33" s="38" t="inlineStr">
        <is>
          <t>실선 또는 목업에서 층별 RSSI 맵을 실측해 AP 배치를 확정. 실측된 최악 두절 시간을 시험 조건으로 사용.</t>
        </is>
      </c>
      <c r="P33" s="16" t="inlineStr">
        <is>
          <t>Pre-POC 진행시</t>
        </is>
      </c>
      <c r="Q33" s="37" t="n"/>
      <c r="R33" s="16" t="n"/>
      <c r="S33" s="16" t="n"/>
      <c r="T33" s="16" t="n"/>
      <c r="U33" s="16" t="n"/>
    </row>
    <row r="34" ht="36" customHeight="1" s="6">
      <c r="A34" s="16" t="inlineStr">
        <is>
          <t>R12-2</t>
        </is>
      </c>
      <c r="B34" s="16" t="n">
        <v>12</v>
      </c>
      <c r="C34" s="16" t="inlineStr">
        <is>
          <t>ALL</t>
        </is>
      </c>
      <c r="D34" s="17" t="inlineStr">
        <is>
          <t>두절 구간 진행분 회수</t>
        </is>
      </c>
      <c r="E34" s="17" t="inlineStr">
        <is>
          <t>두절 구간에서 발생한 촬영·결과가 재접속 후 회수되지 않음</t>
        </is>
      </c>
      <c r="F34" s="17" t="inlineStr">
        <is>
          <t>ACS 진행률과 실제 수행량이 영구 불일치. 세이지 수신 이미지 수와도 어긋남</t>
        </is>
      </c>
      <c r="G34" s="16" t="n">
        <v>8</v>
      </c>
      <c r="H34" s="17" t="inlineStr">
        <is>
          <t>재전송 방식이 미결(ADR-008) — state 확장/별도 토픽/로봇 업로드 중 미선택</t>
        </is>
      </c>
      <c r="I34" s="16" t="n">
        <v>6</v>
      </c>
      <c r="J34" s="17" t="inlineStr">
        <is>
          <t>없음</t>
        </is>
      </c>
      <c r="K34" s="17" t="inlineStr">
        <is>
          <t>없음 — 진행률이 그럴듯한 값으로 남아 불일치가 드러나지 않음</t>
        </is>
      </c>
      <c r="L34" s="16" t="n">
        <v>6</v>
      </c>
      <c r="M34" s="16">
        <f>G34*I34*L34</f>
        <v/>
      </c>
      <c r="N34" s="18">
        <f>IF(G34&gt;=9,IF(I34&gt;=6,"H",IF(I34&gt;=4,IF(L34&gt;=2,"H","M"),IF(I34&gt;=2,IF(L34&gt;=7,"H",IF(L34&gt;=2,"M","L")),"L"))),IF(G34&gt;=7,IF(I34&gt;=8,IF(L34&gt;=2,"H","M"),IF(I34&gt;=6,IF(L34&gt;=5,"H","M"),IF(I34&gt;=4,IF(L34&gt;=7,"H",IF(L34&gt;=2,"M","L")),IF(I34&gt;=2,IF(L34&gt;=5,"M","L"),"L")))),IF(G34&gt;=4,IF(I34&gt;=8,IF(L34&gt;=7,"H",IF(L34&gt;=2,"M","L")),IF(I34&gt;=6,IF(L34&gt;=5,"M","L"),IF(I34&gt;=4,IF(L34&gt;=7,"M","L"),"L"))),IF(G34&gt;=2,IF(I34&gt;=8,IF(L34&gt;=7,"M","L"),"L"),"L"))))</f>
        <v/>
      </c>
      <c r="O34" s="17" t="inlineStr">
        <is>
          <t>재전송 방식을 결정하고 두절 시험을 합격 기준에 포함(재접속 후 진행률 = 로봇 실제 수행량).</t>
        </is>
      </c>
      <c r="P34" s="16" t="inlineStr">
        <is>
          <t>연동 사양 확정 전</t>
        </is>
      </c>
      <c r="Q34" s="16" t="inlineStr">
        <is>
          <t>김성곤</t>
        </is>
      </c>
      <c r="R34" s="16" t="n"/>
      <c r="S34" s="16" t="n"/>
      <c r="T34" s="16" t="n"/>
      <c r="U34" s="16" t="n"/>
    </row>
    <row r="35" ht="36" customFormat="1" customHeight="1" s="43">
      <c r="A35" s="40" t="inlineStr">
        <is>
          <t>R12-3</t>
        </is>
      </c>
      <c r="B35" s="40" t="n">
        <v>12</v>
      </c>
      <c r="C35" s="40" t="inlineStr">
        <is>
          <t>ALL</t>
        </is>
      </c>
      <c r="D35" s="41" t="inlineStr">
        <is>
          <t>이미지 전송 대역 확보</t>
        </is>
      </c>
      <c r="E35" s="41" t="inlineStr">
        <is>
          <t>비전 → 세이지 구간 통신 대역이 이미지 전송량을 감당하지 못함</t>
        </is>
      </c>
      <c r="F35" s="41" t="inlineStr">
        <is>
          <t>이미지 전송 적체로 검사 지연 또는 유실</t>
        </is>
      </c>
      <c r="G35" s="40" t="n">
        <v>7</v>
      </c>
      <c r="H35" s="41" t="inlineStr">
        <is>
          <t>TASK당 촬영 N장 구조인데 총 이미지 용량·전송 소요시간이 산정되지 않음</t>
        </is>
      </c>
      <c r="I35" s="40" t="n">
        <v>5</v>
      </c>
      <c r="J35" s="41" t="inlineStr">
        <is>
          <t>없음</t>
        </is>
      </c>
      <c r="K35" s="41" t="inlineStr">
        <is>
          <t>없음 — 실제 대량 전송 시점에 드러남</t>
        </is>
      </c>
      <c r="L35" s="40" t="n">
        <v>5</v>
      </c>
      <c r="M35" s="40">
        <f>G35*I35*L35</f>
        <v/>
      </c>
      <c r="N35" s="42">
        <f>IF(G35&gt;=9,IF(I35&gt;=6,"H",IF(I35&gt;=4,IF(L35&gt;=2,"H","M"),IF(I35&gt;=2,IF(L35&gt;=7,"H",IF(L35&gt;=2,"M","L")),"L"))),IF(G35&gt;=7,IF(I35&gt;=8,IF(L35&gt;=2,"H","M"),IF(I35&gt;=6,IF(L35&gt;=5,"H","M"),IF(I35&gt;=4,IF(L35&gt;=7,"H",IF(L35&gt;=2,"M","L")),IF(I35&gt;=2,IF(L35&gt;=5,"M","L"),"L")))),IF(G35&gt;=4,IF(I35&gt;=8,IF(L35&gt;=7,"H",IF(L35&gt;=2,"M","L")),IF(I35&gt;=6,IF(L35&gt;=5,"M","L"),IF(I35&gt;=4,IF(L35&gt;=7,"M","L"),"L"))),IF(G35&gt;=2,IF(I35&gt;=8,IF(L35&gt;=7,"M","L"),"L"),"L"))))</f>
        <v/>
      </c>
      <c r="O35" s="41" t="inlineStr">
        <is>
          <t>총 이미지 용량과 전송 소요시간을 먼저 산정해 대역을 확인. 이 구간을 유선으로 뺄 수 있는지 검토.</t>
        </is>
      </c>
      <c r="P35" s="40" t="inlineStr">
        <is>
          <t>POC 실행 전</t>
        </is>
      </c>
      <c r="Q35" s="40" t="n"/>
      <c r="R35" s="40" t="n"/>
      <c r="S35" s="40" t="n"/>
      <c r="T35" s="40" t="n"/>
      <c r="U35" s="40" t="n"/>
    </row>
    <row r="36" ht="36" customHeight="1" s="6">
      <c r="A36" s="16" t="inlineStr">
        <is>
          <t>R13-1</t>
        </is>
      </c>
      <c r="B36" s="16" t="n">
        <v>13</v>
      </c>
      <c r="C36" s="16" t="inlineStr">
        <is>
          <t>ALL</t>
        </is>
      </c>
      <c r="D36" s="17" t="inlineStr">
        <is>
          <t>F/A 격벽 팔각 윤곽 제공</t>
        </is>
      </c>
      <c r="E36" s="17" t="inlineStr">
        <is>
          <t>파라미터로 계산한 8점 폴리곤이 실제 도면 형상과 다름</t>
        </is>
      </c>
      <c r="F36" s="17" t="inlineStr">
        <is>
          <t>세이지 전개도와 실물 불일치, 격벽 영역 좌표 오차</t>
        </is>
      </c>
      <c r="G36" s="16" t="n">
        <v>6</v>
      </c>
      <c r="H36" s="17" t="inlineStr">
        <is>
          <t>실제 화물창 도면이 파라미터 팔각으로 표현 가능한지 미확인</t>
        </is>
      </c>
      <c r="I36" s="16" t="n">
        <v>5</v>
      </c>
      <c r="J36" s="17" t="inlineStr">
        <is>
          <t>없음</t>
        </is>
      </c>
      <c r="K36" s="17" t="inlineStr">
        <is>
          <t>없음 — 도면과 대조하기 전에는 알 수 없음</t>
        </is>
      </c>
      <c r="L36" s="16" t="n">
        <v>7</v>
      </c>
      <c r="M36" s="16">
        <f>G36*I36*L36</f>
        <v/>
      </c>
      <c r="N36" s="18">
        <f>IF(G36&gt;=9,IF(I36&gt;=6,"H",IF(I36&gt;=4,IF(L36&gt;=2,"H","M"),IF(I36&gt;=2,IF(L36&gt;=7,"H",IF(L36&gt;=2,"M","L")),"L"))),IF(G36&gt;=7,IF(I36&gt;=8,IF(L36&gt;=2,"H","M"),IF(I36&gt;=6,IF(L36&gt;=5,"H","M"),IF(I36&gt;=4,IF(L36&gt;=7,"H",IF(L36&gt;=2,"M","L")),IF(I36&gt;=2,IF(L36&gt;=5,"M","L"),"L")))),IF(G36&gt;=4,IF(I36&gt;=8,IF(L36&gt;=7,"H",IF(L36&gt;=2,"M","L")),IF(I36&gt;=6,IF(L36&gt;=5,"M","L"),IF(I36&gt;=4,IF(L36&gt;=7,"M","L"),"L"))),IF(G36&gt;=2,IF(I36&gt;=8,IF(L36&gt;=7,"M","L"),"L"),"L"))))</f>
        <v/>
      </c>
      <c r="O36" s="17" t="inlineStr">
        <is>
          <t>실제 도면 1건으로 계산 폴리곤과 도면 윤곽을 중첩 비교. 불일치 시 폴리곤 직접 입력 경로를 마련.</t>
        </is>
      </c>
      <c r="P36" s="16" t="inlineStr">
        <is>
          <t>연동 사양 확정 전</t>
        </is>
      </c>
      <c r="Q36" s="16" t="n"/>
      <c r="R36" s="16" t="n"/>
      <c r="S36" s="16" t="n"/>
      <c r="T36" s="16" t="n"/>
      <c r="U36" s="16" t="n"/>
    </row>
    <row r="37" ht="36" customHeight="1" s="6">
      <c r="A37" s="16" t="inlineStr">
        <is>
          <t>R13-2</t>
        </is>
      </c>
      <c r="B37" s="16" t="n">
        <v>13</v>
      </c>
      <c r="C37" s="16" t="inlineStr">
        <is>
          <t>이노로보틱스</t>
        </is>
      </c>
      <c r="D37" s="17" t="inlineStr">
        <is>
          <t>격벽 영역·작업 경계 검증</t>
        </is>
      </c>
      <c r="E37" s="17" t="inlineStr">
        <is>
          <t>경계 판정이 직사각형 가정으로 남아 팔각 밖 등록이 통과됨</t>
        </is>
      </c>
      <c r="F37" s="17" t="inlineStr">
        <is>
          <t>도달 불가 위치에 TASK가 등록되어 실행 시 실패</t>
        </is>
      </c>
      <c r="G37" s="16" t="n">
        <v>6</v>
      </c>
      <c r="H37" s="17" t="inlineStr">
        <is>
          <t>경계 검증 코드에 직사각형 가정이 잔존</t>
        </is>
      </c>
      <c r="I37" s="16" t="n">
        <v>6</v>
      </c>
      <c r="J37" s="17" t="inlineStr">
        <is>
          <t>point-in-polygon 검증이 일부 경로에만 적용</t>
        </is>
      </c>
      <c r="K37" s="17" t="inlineStr">
        <is>
          <t>실행 중 실패로만 드러남</t>
        </is>
      </c>
      <c r="L37" s="16" t="n">
        <v>5</v>
      </c>
      <c r="M37" s="16">
        <f>G37*I37*L37</f>
        <v/>
      </c>
      <c r="N37" s="18">
        <f>IF(G37&gt;=9,IF(I37&gt;=6,"H",IF(I37&gt;=4,IF(L37&gt;=2,"H","M"),IF(I37&gt;=2,IF(L37&gt;=7,"H",IF(L37&gt;=2,"M","L")),"L"))),IF(G37&gt;=7,IF(I37&gt;=8,IF(L37&gt;=2,"H","M"),IF(I37&gt;=6,IF(L37&gt;=5,"H","M"),IF(I37&gt;=4,IF(L37&gt;=7,"H",IF(L37&gt;=2,"M","L")),IF(I37&gt;=2,IF(L37&gt;=5,"M","L"),"L")))),IF(G37&gt;=4,IF(I37&gt;=8,IF(L37&gt;=7,"H",IF(L37&gt;=2,"M","L")),IF(I37&gt;=6,IF(L37&gt;=5,"M","L"),IF(I37&gt;=4,IF(L37&gt;=7,"M","L"),"L"))),IF(G37&gt;=2,IF(I37&gt;=8,IF(L37&gt;=7,"M","L"),"L"),"L"))))</f>
        <v/>
      </c>
      <c r="O37" s="17" t="inlineStr">
        <is>
          <t>point-in-polygon 검증을 격벽 면에도 일관 적용하고 경계 케이스(외부/경계선/내부) 시험 추가.</t>
        </is>
      </c>
      <c r="P37" s="16" t="inlineStr">
        <is>
          <t>Pre-POC 진행시</t>
        </is>
      </c>
      <c r="Q37" s="16" t="inlineStr">
        <is>
          <t>김성곤</t>
        </is>
      </c>
      <c r="R37" s="16" t="n"/>
      <c r="S37" s="16" t="n"/>
      <c r="T37" s="16" t="n"/>
      <c r="U37" s="16" t="n"/>
    </row>
  </sheetData>
  <autoFilter ref="A4:U37"/>
  <conditionalFormatting sqref="M5:M37">
    <cfRule type="cellIs" priority="7" operator="greaterThanOrEqual" dxfId="7">
      <formula>300</formula>
    </cfRule>
    <cfRule type="cellIs" priority="8" operator="greaterThanOrEqual" dxfId="6">
      <formula>150</formula>
    </cfRule>
  </conditionalFormatting>
  <conditionalFormatting sqref="N5:N37">
    <cfRule type="cellIs" priority="1" operator="equal" dxfId="2">
      <formula>"H"</formula>
    </cfRule>
    <cfRule type="cellIs" priority="2" operator="equal" dxfId="1">
      <formula>"M"</formula>
    </cfRule>
    <cfRule type="cellIs" priority="3" operator="equal" dxfId="0">
      <formula>"L"</formula>
    </cfRule>
  </conditionalFormatting>
  <conditionalFormatting sqref="U5:U37">
    <cfRule type="cellIs" priority="4" operator="equal" dxfId="2">
      <formula>"H"</formula>
    </cfRule>
    <cfRule type="cellIs" priority="5" operator="equal" dxfId="1">
      <formula>"M"</formula>
    </cfRule>
    <cfRule type="cellIs" priority="6" operator="equal" dxfId="0">
      <formula>"L"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topLeftCell="A26" workbookViewId="0">
      <selection activeCell="A2" sqref="A2"/>
    </sheetView>
  </sheetViews>
  <sheetFormatPr baseColWidth="10" defaultColWidth="8.7109375" defaultRowHeight="18"/>
  <cols>
    <col width="8" customWidth="1" style="6" min="1" max="1"/>
    <col width="30" customWidth="1" style="6" min="2" max="2"/>
    <col width="58" customWidth="1" style="6" min="3" max="3"/>
    <col width="30" customWidth="1" style="6" min="4" max="4"/>
  </cols>
  <sheetData>
    <row r="1" ht="22" customHeight="1" s="6">
      <c r="A1" s="19" t="inlineStr">
        <is>
          <t>FMEA 척도 정의 및 AP 판정 규칙</t>
        </is>
      </c>
    </row>
    <row r="2">
      <c r="A2" s="14" t="inlineStr">
        <is>
          <t>점수는 이 표의 앵커에 맞춰서만 매긴다. 앵커 없이 감으로 매기면 전 항목이 상위 등급으로 몰려 우선순위가 사라진다.</t>
        </is>
      </c>
    </row>
    <row r="4" ht="19" customHeight="1" s="6">
      <c r="A4" s="20" t="inlineStr">
        <is>
          <t>1. 심각도 S (Severity) — 이 고장이 실제로 일어났을 때의 결과</t>
        </is>
      </c>
    </row>
    <row r="5">
      <c r="A5" s="15" t="inlineStr">
        <is>
          <t>등급</t>
        </is>
      </c>
      <c r="B5" s="15" t="inlineStr">
        <is>
          <t>구분</t>
        </is>
      </c>
      <c r="C5" s="15" t="inlineStr">
        <is>
          <t>판정 앵커 (이 프로젝트 기준)</t>
        </is>
      </c>
      <c r="D5" s="15" t="n"/>
    </row>
    <row r="6">
      <c r="A6" s="16" t="n">
        <v>10</v>
      </c>
      <c r="B6" s="17" t="inlineStr">
        <is>
          <t>안전·자산</t>
        </is>
      </c>
      <c r="C6" s="17" t="inlineStr">
        <is>
          <t>인명 위해 또는 멤브레인 손상 — 복구 불가, 계약 위기</t>
        </is>
      </c>
      <c r="D6" s="17" t="n"/>
    </row>
    <row r="7" ht="36" customHeight="1" s="6">
      <c r="A7" s="16" t="n">
        <v>9</v>
      </c>
      <c r="B7" s="17" t="inlineStr">
        <is>
          <t>검사 신뢰성 상실</t>
        </is>
      </c>
      <c r="C7" s="17" t="inlineStr">
        <is>
          <t>미검사를 검사 완료로 보고하거나, 잘못된 대상을 검사하고 성공 처리 — 조용한 오검사</t>
        </is>
      </c>
      <c r="D7" s="17" t="n"/>
    </row>
    <row r="8">
      <c r="A8" s="16" t="n">
        <v>8</v>
      </c>
      <c r="B8" s="17" t="inlineStr">
        <is>
          <t>재설계</t>
        </is>
      </c>
      <c r="C8" s="17" t="inlineStr">
        <is>
          <t>데이터 모델·인터페이스 재개정 또는 재설계 필요. 일정 4주 이상</t>
        </is>
      </c>
      <c r="D8" s="17" t="n"/>
    </row>
    <row r="9">
      <c r="A9" s="16" t="n">
        <v>7</v>
      </c>
      <c r="B9" s="17" t="inlineStr">
        <is>
          <t>현장 중단</t>
        </is>
      </c>
      <c r="C9" s="17" t="inlineStr">
        <is>
          <t>현장 검사 중단 또는 대규모 재작업. 일정 2~4주</t>
        </is>
      </c>
      <c r="D9" s="17" t="n"/>
    </row>
    <row r="10">
      <c r="A10" s="16" t="n">
        <v>6</v>
      </c>
      <c r="B10" s="17" t="inlineStr">
        <is>
          <t>대외 신뢰</t>
        </is>
      </c>
      <c r="C10" s="17" t="inlineStr">
        <is>
          <t>고객사 화면에 잘못된 값 노출. 일정 1~2주</t>
        </is>
      </c>
      <c r="D10" s="17" t="n"/>
    </row>
    <row r="11">
      <c r="A11" s="16" t="n">
        <v>5</v>
      </c>
      <c r="B11" s="17" t="inlineStr">
        <is>
          <t>부분 누락</t>
        </is>
      </c>
      <c r="C11" s="17" t="inlineStr">
        <is>
          <t>검사 일부 누락되나 수동 보완 가능</t>
        </is>
      </c>
      <c r="D11" s="17" t="n"/>
    </row>
    <row r="12">
      <c r="A12" s="16" t="n">
        <v>4</v>
      </c>
      <c r="B12" s="17" t="inlineStr">
        <is>
          <t>운영 부담</t>
        </is>
      </c>
      <c r="C12" s="17" t="inlineStr">
        <is>
          <t>추가 공수·불편. 일정 며칠</t>
        </is>
      </c>
      <c r="D12" s="17" t="n"/>
    </row>
    <row r="13">
      <c r="A13" s="16" t="n">
        <v>3</v>
      </c>
      <c r="B13" s="17" t="inlineStr">
        <is>
          <t>경미</t>
        </is>
      </c>
      <c r="C13" s="17" t="inlineStr">
        <is>
          <t>기능 저하가 있으나 우회 가능</t>
        </is>
      </c>
      <c r="D13" s="17" t="n"/>
    </row>
    <row r="14">
      <c r="A14" s="16" t="n">
        <v>2</v>
      </c>
      <c r="B14" s="17" t="inlineStr">
        <is>
          <t>사소</t>
        </is>
      </c>
      <c r="C14" s="17" t="inlineStr">
        <is>
          <t>사용상 사소한 불편</t>
        </is>
      </c>
      <c r="D14" s="17" t="n"/>
    </row>
    <row r="15">
      <c r="A15" s="16" t="n">
        <v>1</v>
      </c>
      <c r="B15" s="17" t="inlineStr">
        <is>
          <t>없음</t>
        </is>
      </c>
      <c r="C15" s="17" t="inlineStr">
        <is>
          <t>실질 영향 없음</t>
        </is>
      </c>
      <c r="D15" s="17" t="n"/>
    </row>
    <row r="18" ht="19" customHeight="1" s="6">
      <c r="A18" s="20" t="inlineStr">
        <is>
          <t>2. 발생도 O (Occurrence) — 원인이 실제로 발생할 확률</t>
        </is>
      </c>
    </row>
    <row r="19">
      <c r="A19" s="15" t="inlineStr">
        <is>
          <t>등급</t>
        </is>
      </c>
      <c r="B19" s="15" t="inlineStr">
        <is>
          <t>구분</t>
        </is>
      </c>
      <c r="C19" s="15" t="inlineStr">
        <is>
          <t>판정 앵커</t>
        </is>
      </c>
      <c r="D19" s="15" t="n"/>
    </row>
    <row r="20">
      <c r="A20" s="16" t="inlineStr">
        <is>
          <t>9~10</t>
        </is>
      </c>
      <c r="B20" s="17" t="inlineStr">
        <is>
          <t>확실</t>
        </is>
      </c>
      <c r="C20" s="17" t="inlineStr">
        <is>
          <t>현재 상태로 진행하면 반드시 발생. 결함이 이미 확인된 경우 포함</t>
        </is>
      </c>
      <c r="D20" s="17" t="n"/>
    </row>
    <row r="21">
      <c r="A21" s="16" t="inlineStr">
        <is>
          <t>7~8</t>
        </is>
      </c>
      <c r="B21" s="17" t="inlineStr">
        <is>
          <t>매우 높음</t>
        </is>
      </c>
      <c r="C21" s="17" t="inlineStr">
        <is>
          <t>방지책이 전혀 없고 유사 상황에서 겪은 전례가 있음</t>
        </is>
      </c>
      <c r="D21" s="17" t="n"/>
    </row>
    <row r="22">
      <c r="A22" s="16" t="inlineStr">
        <is>
          <t>5~6</t>
        </is>
      </c>
      <c r="B22" s="17" t="inlineStr">
        <is>
          <t>높음</t>
        </is>
      </c>
      <c r="C22" s="17" t="inlineStr">
        <is>
          <t>조건이 맞으면 자주 발생. 방지책이 경고 수준에 그침</t>
        </is>
      </c>
      <c r="D22" s="17" t="n"/>
    </row>
    <row r="23">
      <c r="A23" s="16" t="inlineStr">
        <is>
          <t>3~4</t>
        </is>
      </c>
      <c r="B23" s="17" t="inlineStr">
        <is>
          <t>보통</t>
        </is>
      </c>
      <c r="C23" s="17" t="inlineStr">
        <is>
          <t>가끔 발생. 부분적 방지책 존재</t>
        </is>
      </c>
      <c r="D23" s="17" t="n"/>
    </row>
    <row r="24">
      <c r="A24" s="16" t="inlineStr">
        <is>
          <t>2</t>
        </is>
      </c>
      <c r="B24" s="17" t="inlineStr">
        <is>
          <t>낮음</t>
        </is>
      </c>
      <c r="C24" s="17" t="inlineStr">
        <is>
          <t>드묾. 방지책이 작동함</t>
        </is>
      </c>
      <c r="D24" s="17" t="n"/>
    </row>
    <row r="25">
      <c r="A25" s="16" t="inlineStr">
        <is>
          <t>1</t>
        </is>
      </c>
      <c r="B25" s="17" t="inlineStr">
        <is>
          <t>거의 없음</t>
        </is>
      </c>
      <c r="C25" s="17" t="inlineStr">
        <is>
          <t>구조적으로 발생할 수 없게 설계됨</t>
        </is>
      </c>
      <c r="D25" s="17" t="n"/>
    </row>
    <row r="28" ht="19" customHeight="1" s="6">
      <c r="A28" s="20" t="inlineStr">
        <is>
          <t>3. 검출도 D (Detection) — 현장 인수 전에 우리 눈에 띌 확률 (높을수록 못 잡는다)</t>
        </is>
      </c>
    </row>
    <row r="29">
      <c r="A29" s="15" t="inlineStr">
        <is>
          <t>등급</t>
        </is>
      </c>
      <c r="B29" s="15" t="inlineStr">
        <is>
          <t>구분</t>
        </is>
      </c>
      <c r="C29" s="15" t="inlineStr">
        <is>
          <t>판정 앵커</t>
        </is>
      </c>
      <c r="D29" s="15" t="n"/>
    </row>
    <row r="30">
      <c r="A30" s="16" t="n">
        <v>10</v>
      </c>
      <c r="B30" s="17" t="inlineStr">
        <is>
          <t>검출 불가</t>
        </is>
      </c>
      <c r="C30" s="17" t="inlineStr">
        <is>
          <t>검사 결과가 틀려도 아무도 모른다. 값이 그럴듯해 사후에도 드러나지 않음</t>
        </is>
      </c>
      <c r="D30" s="17" t="n"/>
    </row>
    <row r="31">
      <c r="A31" s="16" t="n">
        <v>9</v>
      </c>
      <c r="B31" s="17" t="inlineStr">
        <is>
          <t>거의 불가</t>
        </is>
      </c>
      <c r="C31" s="17" t="inlineStr">
        <is>
          <t>우연이나 육안 재확인으로만 발견 가능</t>
        </is>
      </c>
      <c r="D31" s="17" t="n"/>
    </row>
    <row r="32">
      <c r="A32" s="16" t="inlineStr">
        <is>
          <t>7~8</t>
        </is>
      </c>
      <c r="B32" s="17" t="inlineStr">
        <is>
          <t>현장에서만</t>
        </is>
      </c>
      <c r="C32" s="17" t="inlineStr">
        <is>
          <t>실기·실선 시험에서만 드러남. 시뮬레이터로는 재현되지 않음</t>
        </is>
      </c>
      <c r="D32" s="17" t="n"/>
    </row>
    <row r="33">
      <c r="A33" s="16" t="inlineStr">
        <is>
          <t>5~6</t>
        </is>
      </c>
      <c r="B33" s="17" t="inlineStr">
        <is>
          <t>통합시험</t>
        </is>
      </c>
      <c r="C33" s="17" t="inlineStr">
        <is>
          <t>시뮬레이터 E2E 또는 실행 중 실패로 드러남</t>
        </is>
      </c>
      <c r="D33" s="17" t="n"/>
    </row>
    <row r="34">
      <c r="A34" s="16" t="inlineStr">
        <is>
          <t>3~4</t>
        </is>
      </c>
      <c r="B34" s="17" t="inlineStr">
        <is>
          <t>자동시험</t>
        </is>
      </c>
      <c r="C34" s="17" t="inlineStr">
        <is>
          <t>단위시험·스키마 검증·계약 시험에서 드러남</t>
        </is>
      </c>
      <c r="D34" s="17" t="n"/>
    </row>
    <row r="35">
      <c r="A35" s="16" t="n">
        <v>2</v>
      </c>
      <c r="B35" s="17" t="inlineStr">
        <is>
          <t>빌드</t>
        </is>
      </c>
      <c r="C35" s="17" t="inlineStr">
        <is>
          <t>빌드 또는 정적 분석에서 즉시 드러남</t>
        </is>
      </c>
      <c r="D35" s="17" t="n"/>
    </row>
    <row r="36">
      <c r="A36" s="16" t="n">
        <v>1</v>
      </c>
      <c r="B36" s="17" t="inlineStr">
        <is>
          <t>구조적</t>
        </is>
      </c>
      <c r="C36" s="17" t="inlineStr">
        <is>
          <t>설계상 발생 자체가 불가능</t>
        </is>
      </c>
      <c r="D36" s="17" t="n"/>
    </row>
    <row r="38">
      <c r="C38" s="21" t="inlineStr">
        <is>
          <t>※ D 축이 이 프로젝트의 핵심이다. 심각도가 같아도 "빌드에서 터지는 결함"과 "실선에서야 드러나는 좌표 부호 오류"는 전혀 다른 리스크다.</t>
        </is>
      </c>
    </row>
    <row r="40" ht="19" customHeight="1" s="6">
      <c r="A40" s="20" t="inlineStr">
        <is>
          <t>4. AP (Action Priority) 판정 규칙</t>
        </is>
      </c>
    </row>
    <row r="41">
      <c r="A41" s="22" t="inlineStr">
        <is>
          <t>RPN(S×O×D)은 곱셈이라 순위가 왜곡된다 (9×1×9=81 과 4×5×4=80 이 동급으로 보임). AIAG-VDA 2019 개정판은 RPN 대신 AP 룩업을 권한다.</t>
        </is>
      </c>
    </row>
    <row r="42">
      <c r="A42" s="23" t="n"/>
    </row>
    <row r="43">
      <c r="A43" s="15" t="inlineStr">
        <is>
          <t>S</t>
        </is>
      </c>
      <c r="B43" s="15" t="inlineStr">
        <is>
          <t>O</t>
        </is>
      </c>
      <c r="C43" s="15" t="inlineStr">
        <is>
          <t>D</t>
        </is>
      </c>
      <c r="D43" s="15" t="inlineStr">
        <is>
          <t>AP</t>
        </is>
      </c>
    </row>
    <row r="44">
      <c r="A44" s="16" t="inlineStr">
        <is>
          <t>9~10</t>
        </is>
      </c>
      <c r="B44" s="17" t="inlineStr">
        <is>
          <t>6~10</t>
        </is>
      </c>
      <c r="C44" s="17" t="inlineStr">
        <is>
          <t>전 범위</t>
        </is>
      </c>
      <c r="D44" s="17" t="inlineStr">
        <is>
          <t>H</t>
        </is>
      </c>
    </row>
    <row r="45">
      <c r="A45" s="16" t="inlineStr">
        <is>
          <t>9~10</t>
        </is>
      </c>
      <c r="B45" s="17" t="inlineStr">
        <is>
          <t>4~5</t>
        </is>
      </c>
      <c r="C45" s="17" t="inlineStr">
        <is>
          <t>2~10 / 1</t>
        </is>
      </c>
      <c r="D45" s="17" t="inlineStr">
        <is>
          <t>H / M</t>
        </is>
      </c>
    </row>
    <row r="46">
      <c r="A46" s="16" t="inlineStr">
        <is>
          <t>9~10</t>
        </is>
      </c>
      <c r="B46" s="17" t="inlineStr">
        <is>
          <t>2~3</t>
        </is>
      </c>
      <c r="C46" s="17" t="inlineStr">
        <is>
          <t>7~10 / 2~6 / 1</t>
        </is>
      </c>
      <c r="D46" s="17" t="inlineStr">
        <is>
          <t>H / M / L</t>
        </is>
      </c>
    </row>
    <row r="47">
      <c r="A47" s="16" t="inlineStr">
        <is>
          <t>9~10</t>
        </is>
      </c>
      <c r="B47" s="17" t="inlineStr">
        <is>
          <t>1</t>
        </is>
      </c>
      <c r="C47" s="17" t="inlineStr">
        <is>
          <t>전 범위</t>
        </is>
      </c>
      <c r="D47" s="17" t="inlineStr">
        <is>
          <t>L</t>
        </is>
      </c>
    </row>
    <row r="48">
      <c r="A48" s="16" t="inlineStr">
        <is>
          <t>7~8</t>
        </is>
      </c>
      <c r="B48" s="17" t="inlineStr">
        <is>
          <t>8~10</t>
        </is>
      </c>
      <c r="C48" s="17" t="inlineStr">
        <is>
          <t>2~10 / 1</t>
        </is>
      </c>
      <c r="D48" s="17" t="inlineStr">
        <is>
          <t>H / M</t>
        </is>
      </c>
    </row>
    <row r="49">
      <c r="A49" s="16" t="inlineStr">
        <is>
          <t>7~8</t>
        </is>
      </c>
      <c r="B49" s="17" t="inlineStr">
        <is>
          <t>6~7</t>
        </is>
      </c>
      <c r="C49" s="17" t="inlineStr">
        <is>
          <t>5~10 / 1~4</t>
        </is>
      </c>
      <c r="D49" s="17" t="inlineStr">
        <is>
          <t>H / M</t>
        </is>
      </c>
    </row>
    <row r="50">
      <c r="A50" s="16" t="inlineStr">
        <is>
          <t>7~8</t>
        </is>
      </c>
      <c r="B50" s="17" t="inlineStr">
        <is>
          <t>4~5</t>
        </is>
      </c>
      <c r="C50" s="17" t="inlineStr">
        <is>
          <t>7~10 / 2~6 / 1</t>
        </is>
      </c>
      <c r="D50" s="17" t="inlineStr">
        <is>
          <t>H / M / L</t>
        </is>
      </c>
    </row>
    <row r="51">
      <c r="A51" s="16" t="inlineStr">
        <is>
          <t>7~8</t>
        </is>
      </c>
      <c r="B51" s="17" t="inlineStr">
        <is>
          <t>2~3</t>
        </is>
      </c>
      <c r="C51" s="17" t="inlineStr">
        <is>
          <t>5~10 / 1~4</t>
        </is>
      </c>
      <c r="D51" s="17" t="inlineStr">
        <is>
          <t>M / L</t>
        </is>
      </c>
    </row>
    <row r="52">
      <c r="A52" s="16" t="inlineStr">
        <is>
          <t>4~6</t>
        </is>
      </c>
      <c r="B52" s="17" t="inlineStr">
        <is>
          <t>8~10</t>
        </is>
      </c>
      <c r="C52" s="17" t="inlineStr">
        <is>
          <t>7~10 / 2~6 / 1</t>
        </is>
      </c>
      <c r="D52" s="17" t="inlineStr">
        <is>
          <t>H / M / L</t>
        </is>
      </c>
    </row>
    <row r="53">
      <c r="A53" s="16" t="inlineStr">
        <is>
          <t>4~6</t>
        </is>
      </c>
      <c r="B53" s="17" t="inlineStr">
        <is>
          <t>6~7</t>
        </is>
      </c>
      <c r="C53" s="17" t="inlineStr">
        <is>
          <t>5~10 / 1~4</t>
        </is>
      </c>
      <c r="D53" s="17" t="inlineStr">
        <is>
          <t>M / L</t>
        </is>
      </c>
    </row>
    <row r="54">
      <c r="A54" s="16" t="inlineStr">
        <is>
          <t>4~6</t>
        </is>
      </c>
      <c r="B54" s="17" t="inlineStr">
        <is>
          <t>4~5</t>
        </is>
      </c>
      <c r="C54" s="17" t="inlineStr">
        <is>
          <t>7~10 / 1~6</t>
        </is>
      </c>
      <c r="D54" s="17" t="inlineStr">
        <is>
          <t>M / L</t>
        </is>
      </c>
    </row>
    <row r="55">
      <c r="A55" s="16" t="inlineStr">
        <is>
          <t>2~3</t>
        </is>
      </c>
      <c r="B55" s="17" t="inlineStr">
        <is>
          <t>8~10</t>
        </is>
      </c>
      <c r="C55" s="17" t="inlineStr">
        <is>
          <t>7~10 / 1~6</t>
        </is>
      </c>
      <c r="D55" s="17" t="inlineStr">
        <is>
          <t>M / L</t>
        </is>
      </c>
    </row>
    <row r="56">
      <c r="A56" s="16" t="inlineStr">
        <is>
          <t>그 외</t>
        </is>
      </c>
      <c r="B56" s="17" t="inlineStr">
        <is>
          <t>—</t>
        </is>
      </c>
      <c r="C56" s="17" t="inlineStr">
        <is>
          <t>—</t>
        </is>
      </c>
      <c r="D56" s="17" t="inlineStr">
        <is>
          <t>L</t>
        </is>
      </c>
    </row>
    <row r="58">
      <c r="A58" s="24" t="inlineStr">
        <is>
          <t>H = 조치 필수(안 하면 근거를 남길 것) · M = 조치 권장 · L = 현행 유지 가능</t>
        </is>
      </c>
    </row>
    <row r="59">
      <c r="A59" s="14" t="inlineStr">
        <is>
          <t>FMEA 탭의 AP는 수식이므로 S·O·D를 고치면 자동으로 다시 판정된다. RPN도 수식이다.</t>
        </is>
      </c>
    </row>
    <row r="61" ht="19" customHeight="1" s="6">
      <c r="A61" s="20" t="inlineStr">
        <is>
          <t>5. 사용 규칙</t>
        </is>
      </c>
    </row>
    <row r="62">
      <c r="A62" s="25" t="inlineStr">
        <is>
          <t>① 점수는 합의로 정한다. 혼자 매긴 점수는 근거가 아니라 의견이다. 최소 개발·현장·품질 3자가 같이 볼 것.</t>
        </is>
      </c>
    </row>
    <row r="63">
      <c r="A63" s="25" t="inlineStr">
        <is>
          <t>② S는 조치로 낮출 수 없다. 고장이 일어났을 때의 결과는 대책과 무관하다. 낮출 수 있는 것은 O와 D뿐이다.</t>
        </is>
      </c>
    </row>
    <row r="64">
      <c r="A64" s="25" t="inlineStr">
        <is>
          <t>③ D가 8 이상인 항목은 "고치기"가 아니라 "검출 수단 만들기"가 조치다. 조심하자는 대책은 D를 낮추지 못한다.</t>
        </is>
      </c>
    </row>
    <row r="65">
      <c r="A65" s="25" t="inlineStr">
        <is>
          <t>④ 조치 후 재평가(조치후 S/O/D) 칸을 채워야 FMEA가 닫힌다. 조치만 하고 재평가를 안 하면 효과를 알 수 없다.</t>
        </is>
      </c>
    </row>
    <row r="66">
      <c r="A66" s="25" t="inlineStr">
        <is>
          <t>⑤ AP=H 항목에 조치를 안 하기로 했다면, 그 판단 근거를 권고 조치 칸에 남긴다. FMEA는 결정 기록이기도 하다.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F17" sqref="F17"/>
    </sheetView>
  </sheetViews>
  <sheetFormatPr baseColWidth="10" defaultColWidth="8.7109375" defaultRowHeight="18"/>
  <cols>
    <col width="6" customWidth="1" style="6" min="1" max="1"/>
    <col width="14" customWidth="1" style="6" min="2" max="2"/>
    <col width="52" customWidth="1" style="6" min="3" max="3"/>
    <col width="12" customWidth="1" style="6" min="4" max="4"/>
    <col width="9" customWidth="1" style="6" min="5" max="5"/>
    <col width="62" customWidth="1" style="6" min="6" max="6"/>
    <col width="52" customWidth="1" style="6" min="7" max="7"/>
    <col width="46" customWidth="1" style="6" min="8" max="8"/>
  </cols>
  <sheetData>
    <row r="1" ht="24" customHeight="1" s="6">
      <c r="A1" s="50" t="inlineStr">
        <is>
          <t>⚠  전제 조건 (Precondition) — 아래 31건은 모두 이것이 해소된 뒤에야 검증 착수가 가능하다. 리스크가 아니라 선행 차단 항목이다.</t>
        </is>
      </c>
    </row>
    <row r="2" s="6">
      <c r="A2" s="51" t="inlineStr">
        <is>
          <t>현재 커밋(HEAD)이 빌드되지 않는다.   ① RobotStateService.cs — 생성자 2개가 연달아 선언되고 본문은 1개(첫 선언에 본문 없음), CS 컴파일 오류.   ② Program.cs 312행·326행 — GET /api/runs/{runId}/work-items 라우트 중복 등록.   둘 다 6da488f "Merge branch 'claude/task-progress-aggregation'" 의 머지 충돌 해소 오류이며, src/ 워킹트리 변경 없이 커밋된 상태다. 해소 전에는 단위시험·E2E·시뮬레이터 시험 어느 것도 실행할 수 없다.</t>
        </is>
      </c>
    </row>
    <row r="3" ht="8" customHeight="1" s="6"/>
    <row r="4" ht="32" customHeight="1" s="6">
      <c r="A4" s="8" t="inlineStr">
        <is>
          <t>번호</t>
        </is>
      </c>
      <c r="B4" s="8" t="inlineStr">
        <is>
          <t>주체</t>
        </is>
      </c>
      <c r="C4" s="8" t="inlineStr">
        <is>
          <t>리스크 관리 항목</t>
        </is>
      </c>
      <c r="D4" s="8" t="inlineStr">
        <is>
          <t>검증 일정</t>
        </is>
      </c>
      <c r="E4" s="8" t="inlineStr">
        <is>
          <t>위험도</t>
        </is>
      </c>
      <c r="F4" s="8" t="inlineStr">
        <is>
          <t>상세설명</t>
        </is>
      </c>
      <c r="G4" s="8" t="inlineStr">
        <is>
          <t>검증 방법</t>
        </is>
      </c>
      <c r="H4" s="8" t="inlineStr">
        <is>
          <t>합격 기준(Exit Criteria)</t>
        </is>
      </c>
    </row>
    <row r="5" ht="57" customHeight="1" s="6">
      <c r="A5" s="9" t="n">
        <v>1</v>
      </c>
      <c r="B5" s="9" t="inlineStr">
        <is>
          <t>이노로보틱스</t>
        </is>
      </c>
      <c r="C5" s="10" t="inlineStr">
        <is>
          <t>[좌표변환] T_W_D 강체변환 잔차 허용치 미정</t>
        </is>
      </c>
      <c r="D5" s="9" t="inlineStr">
        <is>
          <t>~9/4</t>
        </is>
      </c>
      <c r="E5" s="9" t="inlineStr">
        <is>
          <t>높음</t>
        </is>
      </c>
      <c r="F5" s="10" t="inlineStr">
        <is>
          <t>3점 최소자승으로 도면↔맵 변환을 구하고 RMS/Max 잔차를 산출하지만, 몇 mm까지 허용할지가 설정값의 '경고' 임계로만 존재하고 합격·불합격 기준이 없음.</t>
        </is>
      </c>
      <c r="G5" s="10" t="inlineStr">
        <is>
          <t>기준점 3점과 별도의 검증점 3점 이상을 잡아 검증점에서의 위치오차를 측정. 4개 층 각각 반복.</t>
        </is>
      </c>
      <c r="H5" s="10" t="inlineStr">
        <is>
          <t>검증점 위치오차 RMS ≤ 사전 확정한 목표값, Max ≤ 2×RMS. 목표값은 비전 FOV와 코봇 보정 가능 범위에서 역산해 먼저 확정할 것.</t>
        </is>
      </c>
    </row>
    <row r="6" ht="38" customHeight="1" s="6">
      <c r="A6" s="9" t="n">
        <v>2</v>
      </c>
      <c r="B6" s="9" t="inlineStr">
        <is>
          <t>이노로보틱스</t>
        </is>
      </c>
      <c r="C6" s="10" t="inlineStr">
        <is>
          <t>[좌표변환] 면-로컬 → 도면 → 맵 3단 결합 오차 미검증</t>
        </is>
      </c>
      <c r="D6" s="9" t="inlineStr">
        <is>
          <t>~9/2</t>
        </is>
      </c>
      <c r="E6" s="9" t="inlineStr">
        <is>
          <t>높음</t>
        </is>
      </c>
      <c r="F6" s="10" t="inlineStr">
        <is>
          <t>정차 좌표는 영역 코너 centroid → 벽면 pose 변환 → 맵 변환의 3단을 거침. 각 단계 단위시험은 있으나 결합 오차와 실물 정차 위치는 대조된 적 없음.</t>
        </is>
      </c>
      <c r="G6" s="10" t="inlineStr">
        <is>
          <t>알려진 실측점에 대해 정방향 변환 후 역변환한 왕복 오차를 측정하고, 실제 로봇 정차 위치를 실측해 대조.</t>
        </is>
      </c>
      <c r="H6" s="10" t="inlineStr">
        <is>
          <t>수치 왕복오차 ≤ 1mm. 실물 정차 위치 오차가 코봇 보정 가능 범위 이내.</t>
        </is>
      </c>
    </row>
    <row r="7" ht="38" customHeight="1" s="6">
      <c r="A7" s="9" t="n">
        <v>3</v>
      </c>
      <c r="B7" s="9" t="inlineStr">
        <is>
          <t>이노로보틱스</t>
        </is>
      </c>
      <c r="C7" s="10" t="inlineStr">
        <is>
          <t>[좌표변환] 챔퍼 4면(경사면) 좌표 변환 검증 부족</t>
        </is>
      </c>
      <c r="D7" s="9" t="n"/>
      <c r="E7" s="9" t="inlineStr">
        <is>
          <t>중간</t>
        </is>
      </c>
      <c r="F7" s="10" t="inlineStr">
        <is>
          <t>경사면은 v를 따라 이동하면 전역 y·z가 동시에 변함. 직사각형 면 기준 시험만으로는 축 부호 오류가 드러나지 않음.</t>
        </is>
      </c>
      <c r="G7" s="10" t="inlineStr">
        <is>
          <t>PL/SL/PU/SU 각 면의 네 모서리와 중앙, 총 5점의 (u,v)→전역 좌표를 수계산 값과 대조하는 단위시험 추가.</t>
        </is>
      </c>
      <c r="H7" s="10" t="inlineStr">
        <is>
          <t>5점 전부 ≤ 1mm 일치. 인접 면이 공유하는 모서리의 전역 좌표가 서로 일치.</t>
        </is>
      </c>
    </row>
    <row r="8" ht="38" customHeight="1" s="6">
      <c r="A8" s="9" t="n">
        <v>4</v>
      </c>
      <c r="B8" s="9" t="inlineStr">
        <is>
          <t>이노로보틱스</t>
        </is>
      </c>
      <c r="C8" s="10" t="inlineStr">
        <is>
          <t>[좌표변환] 팔각 격벽(F/A) 경계 판정</t>
        </is>
      </c>
      <c r="D8" s="9" t="n"/>
      <c r="E8" s="9" t="inlineStr">
        <is>
          <t>중간</t>
        </is>
      </c>
      <c r="F8" s="10" t="inlineStr">
        <is>
          <t>격벽 윤곽은 팔각인데 영역·작업 경계 검증이 면을 직사각형으로 가정하는 구간이 남아 있음. 챔퍼로 잘려나간 모서리 바깥에 등록해도 통과할 수 있음.</t>
        </is>
      </c>
      <c r="G8" s="10" t="inlineStr">
        <is>
          <t>팔각 외부 / 경계선 위 / 내부 3종 좌표로 영역·작업 등록 API를 호출.</t>
        </is>
      </c>
      <c r="H8" s="10" t="inlineStr">
        <is>
          <t>외부는 400 거부, 경계선 위는 정의된 정책대로 일관 처리, 내부는 정상 등록.</t>
        </is>
      </c>
    </row>
    <row r="9" ht="38" customHeight="1" s="6">
      <c r="A9" s="28" t="n">
        <v>5</v>
      </c>
      <c r="B9" s="28" t="inlineStr">
        <is>
          <t>이노로보틱스</t>
        </is>
      </c>
      <c r="C9" s="29" t="inlineStr">
        <is>
          <t>[좌표변환] 층(level) 자동 유도의 경계 케이스</t>
        </is>
      </c>
      <c r="D9" s="28" t="n"/>
      <c r="E9" s="28" t="inlineStr">
        <is>
          <t>중간</t>
        </is>
      </c>
      <c r="F9" s="29" t="inlineStr">
        <is>
          <t>영역 z범위로 층을 유도하며 ε=5mm를 허용. 층 경계에 정확히 걸친 영역, 두 층에 걸친 영역, 도달 밴드 밖 영역이 운영자에게 어떻게 보이는지 미검증.</t>
        </is>
      </c>
      <c r="G9" s="29" t="inlineStr">
        <is>
          <t>경계±ε / 두 층 걸침 / 밴드 밖 / 정상, 4종 케이스로 영역 등록 시험.</t>
        </is>
      </c>
      <c r="H9" s="29" t="inlineStr">
        <is>
          <t>각 케이스에서 400 사유 문구만 읽고 원인을 특정할 수 있을 것. 조용한 기본 층 배정이 발생하지 않을 것.</t>
        </is>
      </c>
    </row>
    <row r="10" ht="38" customHeight="1" s="6">
      <c r="A10" s="28" t="n">
        <v>6</v>
      </c>
      <c r="B10" s="28" t="inlineStr">
        <is>
          <t>이노로보틱스</t>
        </is>
      </c>
      <c r="C10" s="29" t="inlineStr">
        <is>
          <t>[배차] 최근접(greedy) 배차의 실제 동선 품질 미검증</t>
        </is>
      </c>
      <c r="D10" s="28" t="n"/>
      <c r="E10" s="28" t="inlineStr">
        <is>
          <t>중간</t>
        </is>
      </c>
      <c r="F10" s="29" t="inlineStr">
        <is>
          <t>맵 프레임 직선거리 기준으로 다음 작업을 고름. 통로 구조·장애물을 반영하지 않아 같은 구역을 왕복하는 동선이 나올 수 있음.</t>
        </is>
      </c>
      <c r="G10" s="29" t="inlineStr">
        <is>
          <t>실제 Area 배치로 시뮬레이터 전 구간을 실행해 총 이동거리를 기록하고, serpentine 등 대안 정책과 비교.</t>
        </is>
      </c>
      <c r="H10" s="29" t="inlineStr">
        <is>
          <t>총 이동거리가 대안 정책 대비 +20% 이내. 동일 구역 반복 왕복이 발생하지 않을 것.</t>
        </is>
      </c>
    </row>
    <row r="11" ht="38" customHeight="1" s="6">
      <c r="A11" s="9" t="n">
        <v>7</v>
      </c>
      <c r="B11" s="9" t="inlineStr">
        <is>
          <t>이노로보틱스</t>
        </is>
      </c>
      <c r="C11" s="10" t="inlineStr">
        <is>
          <t>[배차] 재시도 → 스킵 전이 정책 검증</t>
        </is>
      </c>
      <c r="D11" s="9" t="n"/>
      <c r="E11" s="9" t="inlineStr">
        <is>
          <t>높음</t>
        </is>
      </c>
      <c r="F11" s="10" t="inlineStr">
        <is>
          <t>재시도 초과 시 SKIPPED + 알람 처리. 다만 과거 실패 이력이 잔존해 재시도가 성공해도 실패로 판정되는 결함이 이미 확인됨.
[코드 확인] InspectionDispatcher.cs:241 — acts.Any(a =&gt; a.Status == "FAILED") 로 해당 work_item의 전체 OrderAction을 조회한다.</t>
        </is>
      </c>
      <c r="G11" s="10" t="inlineStr">
        <is>
          <t>시뮬레이터로 (a) 1회 실패 후 성공, (b) N회 연속 실패 두 시나리오를 실행.</t>
        </is>
      </c>
      <c r="H11" s="10" t="inlineStr">
        <is>
          <t>(a)는 DONE으로 기록되고 알람 없음. (b)는 SKIPPED 1건 + 알람 1건, 중복 알람 없음.</t>
        </is>
      </c>
    </row>
    <row r="12" ht="38" customHeight="1" s="6">
      <c r="A12" s="9" t="n">
        <v>8</v>
      </c>
      <c r="B12" s="9" t="inlineStr">
        <is>
          <t>이노로보틱스</t>
        </is>
      </c>
      <c r="C12" s="10" t="inlineStr">
        <is>
          <t>[배차] 층 소진 → 층 전환 대기 → 재개 전 경로 미검증</t>
        </is>
      </c>
      <c r="D12" s="9" t="n"/>
      <c r="E12" s="9" t="inlineStr">
        <is>
          <t>높음</t>
        </is>
      </c>
      <c r="F12" s="10" t="inlineStr">
        <is>
          <t>현재 층 큐가 비면 미션 완료 후 다음 층이 남았으면 층 전환 대기 상태로 진입. 수동 층 변경 후 재개까지의 경로가 통합 검증된 적 없음.</t>
        </is>
      </c>
      <c r="G12" s="10" t="inlineStr">
        <is>
          <t>4개 층 전 구간을 시뮬레이터로 연속 실행하며 각 전환점에서 수동 층 변경을 수행. 잘못된 층으로 변경하는 케이스도 포함.</t>
        </is>
      </c>
      <c r="H12" s="10" t="inlineStr">
        <is>
          <t>4개 층 전부 소진 후 Run이 완료 상태로 종결. 중간 상태 이탈 없음. 층 오입력 시 검증 게이트가 거부.</t>
        </is>
      </c>
    </row>
    <row r="13" ht="38" customHeight="1" s="6">
      <c r="A13" s="9" t="n">
        <v>9</v>
      </c>
      <c r="B13" s="9" t="inlineStr">
        <is>
          <t>이노로보틱스</t>
        </is>
      </c>
      <c r="C13" s="10" t="inlineStr">
        <is>
          <t>[배차] 비상정지 후 복구 절차 미검증</t>
        </is>
      </c>
      <c r="D13" s="9" t="n"/>
      <c r="E13" s="9" t="inlineStr">
        <is>
          <t>높음</t>
        </is>
      </c>
      <c r="F13" s="10" t="inlineStr">
        <is>
          <t>비상정지는 즉시 액션으로 전달. 정지 후 재개했을 때 진행 중이던 작업이 어떤 상태로 남는지, 중복 발행되지 않는지 확인된 바 없음.
[코드 확인] 비상정지는 emergencyStop instantAction만 발행하고 cancelOrder는 보내지 않는다(Vda5050MasterClient.cs:65). 로봇이 이전 Order를 보유한 채 재개될 수 있다.</t>
        </is>
      </c>
      <c r="G13" s="10" t="inlineStr">
        <is>
          <t>정차 이동 중과 검사 수행 중 각각에서 비상정지 후 재개. 재개 후 로봇이 보유한 Order 상태도 함께 확인.</t>
        </is>
      </c>
      <c r="H13" s="10" t="inlineStr">
        <is>
          <t>재개 시 동일 작업이 중복 발행되지 않음. 정지 시점 작업의 상태가 결정적으로 하나로 확정될 것.</t>
        </is>
      </c>
    </row>
    <row r="14" ht="38" customHeight="1" s="6">
      <c r="A14" s="9" t="n">
        <v>10</v>
      </c>
      <c r="B14" s="9" t="inlineStr">
        <is>
          <t>이노로보틱스</t>
        </is>
      </c>
      <c r="C14" s="10" t="inlineStr">
        <is>
          <t>[배차] 상태머신 전이 커버리지 미확인</t>
        </is>
      </c>
      <c r="D14" s="9" t="n"/>
      <c r="E14" s="9" t="inlineStr">
        <is>
          <t>중간</t>
        </is>
      </c>
      <c r="F14" s="10" t="inlineStr">
        <is>
          <t>명시적 상태머신으로 구현했으나 모든 실패 경로의 전이가 시험으로 덮여 있는지 확인되지 않음.</t>
        </is>
      </c>
      <c r="G14" s="10" t="inlineStr">
        <is>
          <t>상태×트리거 조합표를 만들어 허용 전이와 금지 전이를 단위시험으로 전수 확인.</t>
        </is>
      </c>
      <c r="H14" s="10" t="inlineStr">
        <is>
          <t>정의된 전이 100%에 대응 시험 존재. 금지 전이 호출 시 예외 또는 명시적 무시가 발생(조용한 통과 없음).</t>
        </is>
      </c>
    </row>
    <row r="15" ht="38" customHeight="1" s="6">
      <c r="A15" s="9" t="n">
        <v>11</v>
      </c>
      <c r="B15" s="9" t="inlineStr">
        <is>
          <t>이노로보틱스</t>
        </is>
      </c>
      <c r="C15" s="10" t="inlineStr">
        <is>
          <t>[진행률] 분모 산출 경로 불일치 (리스크관리 시트 27번)</t>
        </is>
      </c>
      <c r="D15" s="9" t="n"/>
      <c r="E15" s="9" t="inlineStr">
        <is>
          <t>높음</t>
        </is>
      </c>
      <c r="F15" s="10" t="inlineStr">
        <is>
          <t>진행률 서비스가 참조하는 테이블과 실제 배차 큐 생성 경로가 다름. 대외 API로 노출되는 값이라 오류가 즉시 고객사 화면에 나타남.
[코드 확인] ProgressService.cs:30 — _db.InspectionTasks 를 센다. 운영 배차 경로(ref.area_task → run.work_item)와 다른 테이블이다.</t>
        </is>
      </c>
      <c r="G15" s="10" t="inlineStr">
        <is>
          <t>TASK 수를 미리 아는 시나리오로 Run을 시작한 직후 진행률 API의 totalTasks를 조회.</t>
        </is>
      </c>
      <c r="H15" s="10" t="inlineStr">
        <is>
          <t>totalTasks = 등록 TASK 수 − excludedTasks. Run 진행 중 분모가 변하지 않을 것.</t>
        </is>
      </c>
    </row>
    <row r="16" ht="38" customHeight="1" s="6">
      <c r="A16" s="9" t="n">
        <v>12</v>
      </c>
      <c r="B16" s="9" t="inlineStr">
        <is>
          <t>이노로보틱스</t>
        </is>
      </c>
      <c r="C16" s="10" t="inlineStr">
        <is>
          <t>[진행률] 단조 증가 및 100% 도달 검증</t>
        </is>
      </c>
      <c r="D16" s="9" t="n"/>
      <c r="E16" s="9" t="inlineStr">
        <is>
          <t>높음</t>
        </is>
      </c>
      <c r="F16" s="10" t="inlineStr">
        <is>
          <t>정차 단위로 Order를 순차 발행하는 구조라 발행분을 분모로 쓰면 진행률이 되돌아감. 재시도 중복 집계로 100% 초과도 가능.</t>
        </is>
      </c>
      <c r="G16" s="10" t="inlineStr">
        <is>
          <t>전 구간 실행 중 1~5초 주기로 진행률을 폴링해 시계열로 기록.</t>
        </is>
      </c>
      <c r="H16" s="10" t="inlineStr">
        <is>
          <t>percent가 단조 비감소. 최종값이 정확히 100.0. 구간 중 100 초과 없음.</t>
        </is>
      </c>
    </row>
    <row r="17" ht="38" customHeight="1" s="6">
      <c r="A17" s="9" t="n">
        <v>13</v>
      </c>
      <c r="B17" s="9" t="inlineStr">
        <is>
          <t>이노로보틱스</t>
        </is>
      </c>
      <c r="C17" s="10" t="inlineStr">
        <is>
          <t>[진행률] excludedTasks 산출 근거의 추적 가능성</t>
        </is>
      </c>
      <c r="D17" s="9" t="n"/>
      <c r="E17" s="9" t="inlineStr">
        <is>
          <t>중간</t>
        </is>
      </c>
      <c r="F17" s="10" t="inlineStr">
        <is>
          <t>캘리브레이션 누락 등으로 큐에서 빠진 영역을 분모에서 제외하고 별도 보고. 어떤 영역이 왜 빠졌는지 추적할 수단이 없으면 검사 누락을 사후에 알 수 없음.</t>
        </is>
      </c>
      <c r="G17" s="10" t="inlineStr">
        <is>
          <t>특정 층의 변환을 제거한 상태로 Run을 시작해 진행률과 제외 목록을 조회.</t>
        </is>
      </c>
      <c r="H17" s="10" t="inlineStr">
        <is>
          <t>excludedTasks 수가 그 층 TASK 수와 일치. 제외 사유와 대상 목록을 API 또는 화면에서 확인 가능.</t>
        </is>
      </c>
    </row>
    <row r="18" ht="38" customHeight="1" s="6">
      <c r="A18" s="9" t="n">
        <v>14</v>
      </c>
      <c r="B18" s="9" t="inlineStr">
        <is>
          <t>이노로보틱스</t>
        </is>
      </c>
      <c r="C18" s="10" t="inlineStr">
        <is>
          <t>[진행률] SKIPPED 결과의 이력 기록 (리스크관리 시트 32번)</t>
        </is>
      </c>
      <c r="D18" s="9" t="n"/>
      <c r="E18" s="9" t="inlineStr">
        <is>
          <t>중간</t>
        </is>
      </c>
      <c r="F18" s="10" t="inlineStr">
        <is>
          <t>재시도 초과로 스킵된 작업이 검사 이력에 남지 않아 결과 상세에서 미검사 구간을 특정할 수 없음. 미검사 구간 추적은 인수 조건이 될 수 있음.
[코드 확인] 스킵 기록은 InspectionDispatcher.cs:256(work_item.Status)과 알람뿐. InspectionResults.Add 는 RobotStateService.cs:155 성공 경로에만 존재한다.</t>
        </is>
      </c>
      <c r="G18" s="10" t="inlineStr">
        <is>
          <t>재시도 초과 케이스를 실행한 뒤 결과 상세 API를 조회.</t>
        </is>
      </c>
      <c r="H18" s="10" t="inlineStr">
        <is>
          <t>스킵된 TASK가 결과 목록에 상태와 사유를 갖고 존재.</t>
        </is>
      </c>
    </row>
    <row r="19" ht="38" customHeight="1" s="6">
      <c r="A19" s="9" t="n">
        <v>15</v>
      </c>
      <c r="B19" s="9" t="inlineStr">
        <is>
          <t>이노로보틱스</t>
        </is>
      </c>
      <c r="C19" s="10" t="inlineStr">
        <is>
          <t>[인터페이스] VDA 5050 payload 스키마와 로봇 구현의 일치</t>
        </is>
      </c>
      <c r="D19" s="9" t="n"/>
      <c r="E19" s="9" t="inlineStr">
        <is>
          <t>중간</t>
        </is>
      </c>
      <c r="F19" s="10" t="inlineStr">
        <is>
          <t>발행 직전 스키마 검증을 수행하나, 그 스키마 자체가 로봇 측 파서와 일치하는지는 별개의 문제.</t>
        </is>
      </c>
      <c r="G19" s="10" t="inlineStr">
        <is>
          <t>로봇 담당과 golden payload 샘플을 교환해 양측 파서로 상호 검증.</t>
        </is>
      </c>
      <c r="H19" s="10" t="inlineStr">
        <is>
          <t>동일 샘플을 양측이 오류 없이 파싱하고, 각 필드의 의미 해석이 문서와 일치.</t>
        </is>
      </c>
    </row>
    <row r="20" ht="38" customHeight="1" s="6">
      <c r="A20" s="9" t="n">
        <v>16</v>
      </c>
      <c r="B20" s="9" t="inlineStr">
        <is>
          <t>이노로보틱스</t>
        </is>
      </c>
      <c r="C20" s="10" t="inlineStr">
        <is>
          <t>[인터페이스] Order 재발행·중복 orderId 처리 미검증</t>
        </is>
      </c>
      <c r="D20" s="9" t="n"/>
      <c r="E20" s="9" t="inlineStr">
        <is>
          <t>중간</t>
        </is>
      </c>
      <c r="F20" s="10" t="inlineStr">
        <is>
          <t>통신 재접속 시 같은 Order가 재발행될 수 있음. orderId·orderUpdateId 규약대로 로봇이 처리하는지 확인되지 않음.</t>
        </is>
      </c>
      <c r="G20" s="10" t="inlineStr">
        <is>
          <t>동일 orderId 재발행 / orderUpdateId 증가 발행 / 도착 순서 역전, 3종 시험.</t>
        </is>
      </c>
      <c r="H20" s="10" t="inlineStr">
        <is>
          <t>중복 실행이 발생하지 않음. 거부하는 경우 사유가 state로 회신될 것.</t>
        </is>
      </c>
    </row>
    <row r="21" ht="38" customHeight="1" s="6">
      <c r="A21" s="9" t="n">
        <v>17</v>
      </c>
      <c r="B21" s="9" t="inlineStr">
        <is>
          <t>이노로보틱스</t>
        </is>
      </c>
      <c r="C21" s="10" t="inlineStr">
        <is>
          <t>[인터페이스] 대외 REST 응답 계약의 안정성</t>
        </is>
      </c>
      <c r="D21" s="9" t="n"/>
      <c r="E21" s="9" t="inlineStr">
        <is>
          <t>중간</t>
        </is>
      </c>
      <c r="F21" s="10" t="inlineStr">
        <is>
          <t>일부 엔드포인트가 내부 엔티티를 그대로 직렬화. 내부 모델을 바꾸면 고객사 파서가 조용히 깨짐.</t>
        </is>
      </c>
      <c r="G21" s="10" t="inlineStr">
        <is>
          <t>사양서 예시 JSON과 실제 응답을 필드 단위로 자동 대조하는 계약 시험을 구성해 빌드에 연결.</t>
        </is>
      </c>
      <c r="H21" s="10" t="inlineStr">
        <is>
          <t>사양서에 없는 필드 미노출, 사양서 필드 전부 존재, 타입 일치.</t>
        </is>
      </c>
    </row>
    <row r="22" ht="38" customHeight="1" s="6">
      <c r="A22" s="9" t="n">
        <v>18</v>
      </c>
      <c r="B22" s="9" t="inlineStr">
        <is>
          <t>이노로보틱스</t>
        </is>
      </c>
      <c r="C22" s="10" t="inlineStr">
        <is>
          <t>[인터페이스] 대외 API 오류 응답 일관성</t>
        </is>
      </c>
      <c r="D22" s="9" t="n"/>
      <c r="E22" s="9" t="inlineStr">
        <is>
          <t>낮음</t>
        </is>
      </c>
      <c r="F22" s="10" t="inlineStr">
        <is>
          <t>400/404/500 매핑이 엔드포인트마다 일관되는지, 전역 예외 핸들러가 내부 경로·스택을 노출하지 않는지 미검증.</t>
        </is>
      </c>
      <c r="G22" s="10" t="inlineStr">
        <is>
          <t>존재하지 않는 runId / 형식 오류 / DB 중단 상태로 각 엔드포인트를 호출.</t>
        </is>
      </c>
      <c r="H22" s="10" t="inlineStr">
        <is>
          <t>사양서 표대로 상태코드 반환. 응답 본문에 내부 경로·스택·SQL 미노출.</t>
        </is>
      </c>
    </row>
    <row r="23" ht="38" customHeight="1" s="6">
      <c r="A23" s="9" t="n">
        <v>19</v>
      </c>
      <c r="B23" s="9" t="inlineStr">
        <is>
          <t>이노로보틱스</t>
        </is>
      </c>
      <c r="C23" s="10" t="inlineStr">
        <is>
          <t>[내결함성] 통신 두절 중 로봇 진행분의 재접속 동기화</t>
        </is>
      </c>
      <c r="D23" s="9" t="n"/>
      <c r="E23" s="9" t="inlineStr">
        <is>
          <t>높음</t>
        </is>
      </c>
      <c r="F23" s="10" t="inlineStr">
        <is>
          <t>두절 중에도 로봇이 검사를 계속하는 구조가 설계 전제. 재접속 시 ACS가 놓친 완료분을 어떻게 반영하는지 검증된 적 없음.</t>
        </is>
      </c>
      <c r="G23" s="10" t="inlineStr">
        <is>
          <t>시뮬레이터에서 MQTT를 임의 시간 차단하고 그 사이 다수 작업을 완료 처리한 뒤 복구.</t>
        </is>
      </c>
      <c r="H23" s="10" t="inlineStr">
        <is>
          <t>재접속 후 진행률이 로봇의 실제 수행량과 일치. 완료분 유실·중복 계상 없음.</t>
        </is>
      </c>
    </row>
    <row r="24" ht="38" customHeight="1" s="6">
      <c r="A24" s="9" t="n">
        <v>20</v>
      </c>
      <c r="B24" s="9" t="inlineStr">
        <is>
          <t>이노로보틱스</t>
        </is>
      </c>
      <c r="C24" s="10" t="inlineStr">
        <is>
          <t>[내결함성] 관제 서버 재기동 시 Run 복구</t>
        </is>
      </c>
      <c r="D24" s="9" t="n"/>
      <c r="E24" s="9" t="inlineStr">
        <is>
          <t>높음</t>
        </is>
      </c>
      <c r="F24" s="10" t="inlineStr">
        <is>
          <t>앱은 무상태를 지향하고 로봇을 truth로 삼는 설계. 실제로 Run 진행 중 서버를 재기동했을 때 복원되는지 확인된 바 없음.</t>
        </is>
      </c>
      <c r="G24" s="10" t="inlineStr">
        <is>
          <t>Run 중간에 앱 프로세스를 강제 종료한 뒤 재기동.</t>
        </is>
      </c>
      <c r="H24" s="10" t="inlineStr">
        <is>
          <t>Run·미션·배차 큐 상태가 재기동 전과 동일하게 복원. 중복 발행 없음. 진행률이 되돌아가지 않을 것.</t>
        </is>
      </c>
    </row>
    <row r="25" ht="38" customHeight="1" s="6">
      <c r="A25" s="9" t="n">
        <v>21</v>
      </c>
      <c r="B25" s="9" t="inlineStr">
        <is>
          <t>이노로보틱스</t>
        </is>
      </c>
      <c r="C25" s="10" t="inlineStr">
        <is>
          <t>[내결함성] PostgreSQL·MQTT 브로커 순단 대응</t>
        </is>
      </c>
      <c r="D25" s="9" t="n"/>
      <c r="E25" s="9" t="inlineStr">
        <is>
          <t>중간</t>
        </is>
      </c>
      <c r="F25" s="10" t="inlineStr">
        <is>
          <t>앱·브로커·DB 3개 서비스가 한 서버에 상주. 어느 하나만 순간 중단되었을 때 앱이 복구하는지, 그 사이 이벤트가 유실되는지 미검증.</t>
        </is>
      </c>
      <c r="G25" s="10" t="inlineStr">
        <is>
          <t>Run을 유지한 채 DB와 브로커를 각각 재기동.</t>
        </is>
      </c>
      <c r="H25" s="10" t="inlineStr">
        <is>
          <t>자동 재연결 성공. 순단 구간 이벤트가 유실되지 않거나, 유실 사실이 알람으로 남을 것.</t>
        </is>
      </c>
    </row>
    <row r="26" ht="38" customHeight="1" s="6">
      <c r="A26" s="9" t="n">
        <v>22</v>
      </c>
      <c r="B26" s="9" t="inlineStr">
        <is>
          <t>이노로보틱스</t>
        </is>
      </c>
      <c r="C26" s="10" t="inlineStr">
        <is>
          <t>[내결함성] MQTT QoS·세션 정책 미결에 따른 두절 구간 손실</t>
        </is>
      </c>
      <c r="D26" s="9" t="n"/>
      <c r="E26" s="9" t="inlineStr">
        <is>
          <t>중간</t>
        </is>
      </c>
      <c r="F26" s="10" t="inlineStr">
        <is>
          <t>QoS 수준과 clean session 여부에 따라 두절 구간 메시지 보존 결과가 달라지는데 정책이 미결 상태(ADR-008).</t>
        </is>
      </c>
      <c r="G26" s="10" t="inlineStr">
        <is>
          <t>QoS 0/1과 세션 유지 여부 조합으로 두절 시험을 반복해 손실·중복을 계수.</t>
        </is>
      </c>
      <c r="H26" s="10" t="inlineStr">
        <is>
          <t>선정한 조합에서 state 유실 없음. 중복 수신 시 멱등 처리되어 집계가 어긋나지 않을 것.</t>
        </is>
      </c>
    </row>
    <row r="27" ht="38" customHeight="1" s="6">
      <c r="A27" s="9" t="n">
        <v>23</v>
      </c>
      <c r="B27" s="9" t="inlineStr">
        <is>
          <t>이노로보틱스</t>
        </is>
      </c>
      <c r="C27" s="10" t="inlineStr">
        <is>
          <t>[데이터] 프로젝트 파일(.hdacs) 왕복 무손실</t>
        </is>
      </c>
      <c r="D27" s="9" t="n"/>
      <c r="E27" s="9" t="inlineStr">
        <is>
          <t>중간</t>
        </is>
      </c>
      <c r="F27" s="10" t="inlineStr">
        <is>
          <t>저장은 API 조회 결과 직렬화, 열기는 재등록 방식. 왕복 시 영역 코너·작업 좌표가 보존되는지, 구 포맷 파일이 열리는지 검증 필요.</t>
        </is>
      </c>
      <c r="G27" s="10" t="inlineStr">
        <is>
          <t>전 면·전 층에 영역/작업을 등록한 상태로 저장 → 빈 DB에 열기 → 전 필드 대조. 구버전 포맷 파일도 함께 시험.</t>
        </is>
      </c>
      <c r="H27" s="10" t="inlineStr">
        <is>
          <t>전 필드 일치. 구 포맷은 폴백으로 열리거나 '이 프로그램의 파일이 아님'과 구분되는 명확한 사유로 거부.</t>
        </is>
      </c>
    </row>
    <row r="28" ht="38" customHeight="1" s="6">
      <c r="A28" s="9" t="n">
        <v>24</v>
      </c>
      <c r="B28" s="9" t="inlineStr">
        <is>
          <t>이노로보틱스</t>
        </is>
      </c>
      <c r="C28" s="10" t="inlineStr">
        <is>
          <t>[데이터] DB 마이그레이션 적용 절차 미확립</t>
        </is>
      </c>
      <c r="D28" s="9" t="n"/>
      <c r="E28" s="9" t="inlineStr">
        <is>
          <t>중간</t>
        </is>
      </c>
      <c r="F28" s="10" t="inlineStr">
        <is>
          <t>앱이 자동 마이그레이션을 하지 않아 수동 적용. 신규 현장에 무엇을 어떤 순서로 적용해야 하는지 절차서가 없어 스키마 불일치로 500이 발생한 이력이 있음.
[코드 확인] 전체 코드에 Migrate() · EnsureCreated() 호출이 0건 — 자동 마이그레이션이 없음을 확인했다.</t>
        </is>
      </c>
      <c r="G28" s="10" t="inlineStr">
        <is>
          <t>빈 DB에 통합 DDL + 전 마이그레이션을 절차서 순서대로만 적용한 뒤 전 API 스모크 테스트.</t>
        </is>
      </c>
      <c r="H28" s="10" t="inlineStr">
        <is>
          <t>절차서에 적힌 것만 실행해 전 기능 동작. 절차서에 없는 수동 조치가 필요하지 않을 것.</t>
        </is>
      </c>
    </row>
    <row r="29" ht="38" customHeight="1" s="6">
      <c r="A29" s="9" t="n">
        <v>25</v>
      </c>
      <c r="B29" s="9" t="inlineStr">
        <is>
          <t>이노로보틱스</t>
        </is>
      </c>
      <c r="C29" s="10" t="inlineStr">
        <is>
          <t>[데이터] 검사 이력 보관량과 조회 성능 미산정</t>
        </is>
      </c>
      <c r="D29" s="9" t="n"/>
      <c r="E29" s="9" t="inlineStr">
        <is>
          <t>낮음</t>
        </is>
      </c>
      <c r="F29" s="10" t="inlineStr">
        <is>
          <t>선창 1개 Run당 결과 건수와 누적 보관량이 산정되지 않아 이력 조회의 성능 한계를 알 수 없음.</t>
        </is>
      </c>
      <c r="G29" s="10" t="inlineStr">
        <is>
          <t>예상 최대 건수의 10배 데이터를 적재해 이력·결과 조회 응답시간을 측정.</t>
        </is>
      </c>
      <c r="H29" s="10" t="inlineStr">
        <is>
          <t>목표 응답시간 내 처리. 초과 시 페이징·인덱스 대책을 확보하고 재측정.</t>
        </is>
      </c>
    </row>
    <row r="30" ht="38" customHeight="1" s="6">
      <c r="A30" s="9" t="n">
        <v>26</v>
      </c>
      <c r="B30" s="9" t="inlineStr">
        <is>
          <t>이노로보틱스</t>
        </is>
      </c>
      <c r="C30" s="10" t="inlineStr">
        <is>
          <t>[성능] 진행률 조회 캐시 미구현 (사양서 §3.4 미이행)</t>
        </is>
      </c>
      <c r="D30" s="9" t="n"/>
      <c r="E30" s="9" t="inlineStr">
        <is>
          <t>중간</t>
        </is>
      </c>
      <c r="F30" s="10" t="inlineStr">
        <is>
          <t>고객사가 1~5초 주기로 진행률을 조회한다. 사양서 §3.4에 "HD_ACS는 서버 측 캐시로 고빈도 조회에 대응합니다"라고 기재해 전달했으나, HD.Acs.App 전체에 캐시 구현이 없다(IMemoryCache·캐시 코드 0건).
[정정] 성능 미측정 문제가 아니라 대외 사양 미이행 상태다.</t>
        </is>
      </c>
      <c r="G30" s="10" t="inlineStr">
        <is>
          <t>먼저 캐시 구현 여부를 결정한다 — 구현하거나, 사양서 기재를 현행에 맞게 수정하거나. 구현하는 경우 목표 주기의 5배 빈도로 지속 조회하며 응답시간·CPU·DB 부하를 측정.</t>
        </is>
      </c>
      <c r="H30" s="10" t="inlineStr">
        <is>
          <t>사양서 기재와 구현이 일치. 응답시간이 목표값 내 유지되고 Run 진행에 영향 없음. 캐시를 채택하면 값 지연이 1주기 이내. (목표 응답시간은 사전 확정 필요)</t>
        </is>
      </c>
    </row>
    <row r="31" ht="38" customHeight="1" s="6">
      <c r="A31" s="9" t="n">
        <v>27</v>
      </c>
      <c r="B31" s="9" t="inlineStr">
        <is>
          <t>이노로보틱스</t>
        </is>
      </c>
      <c r="C31" s="10" t="inlineStr">
        <is>
          <t>[성능] 다중 사용자 동시 모니터링 목표치·실측 부재</t>
        </is>
      </c>
      <c r="D31" s="9" t="n"/>
      <c r="E31" s="9" t="inlineStr">
        <is>
          <t>낮음</t>
        </is>
      </c>
      <c r="F31" s="10" t="inlineStr">
        <is>
          <t>다중 사용자 동시 모니터링이 요구사항이나 동시 접속 수 목표와 실측이 없음.</t>
        </is>
      </c>
      <c r="G31" s="10" t="inlineStr">
        <is>
          <t>목표 동시 접속 수로 실시간 구독을 걸고 상태 갱신 지연을 측정.</t>
        </is>
      </c>
      <c r="H31" s="10" t="inlineStr">
        <is>
          <t>목표 접속 수에서 갱신 지연이 운영 가능한 범위 내. 접속 증가에 따른 지연 증가가 선형 이하.</t>
        </is>
      </c>
    </row>
    <row r="32" ht="57" customHeight="1" s="6">
      <c r="A32" s="9" t="n">
        <v>28</v>
      </c>
      <c r="B32" s="9" t="inlineStr">
        <is>
          <t>이노로보틱스</t>
        </is>
      </c>
      <c r="C32" s="10" t="inlineStr">
        <is>
          <t>[시험환경] 시뮬레이터와 실기의 동작 차이 미정리</t>
        </is>
      </c>
      <c r="D32" s="9" t="n"/>
      <c r="E32" s="9" t="inlineStr">
        <is>
          <t>높음</t>
        </is>
      </c>
      <c r="F32" s="10" t="inlineStr">
        <is>
          <t>현재 검증은 대부분 시뮬레이터 기반. 시뮬레이터가 실기의 무엇을 모사하지 않는지(타이밍·부분 실패·비표준 응답·지연) 정리되어 있지 않아 '시험 통과'의 의미가 불명확함.</t>
        </is>
      </c>
      <c r="G32" s="10" t="inlineStr">
        <is>
          <t>시뮬레이터 미모사 항목 목록을 먼저 작성하고, 각 항목을 실기 시험 항목으로 1:1 전환.</t>
        </is>
      </c>
      <c r="H32" s="10" t="inlineStr">
        <is>
          <t>미모사 항목이 전부 실기 시험 계획에 매핑. 미매핑 0건.</t>
        </is>
      </c>
    </row>
    <row r="33" ht="38" customHeight="1" s="6">
      <c r="A33" s="9" t="n">
        <v>29</v>
      </c>
      <c r="B33" s="9" t="inlineStr">
        <is>
          <t>이노로보틱스</t>
        </is>
      </c>
      <c r="C33" s="10" t="inlineStr">
        <is>
          <t>[시험환경] 회귀 시험 자동화 범위 부족</t>
        </is>
      </c>
      <c r="D33" s="9" t="n"/>
      <c r="E33" s="9" t="inlineStr">
        <is>
          <t>중간</t>
        </is>
      </c>
      <c r="F33" s="10" t="inlineStr">
        <is>
          <t>순수 계산 로직은 단위시험이 있으나 API·DB E2E는 수동 검증에 의존. 변경마다 수동 확인이 필요해 회귀 누락 위험이 상시 존재.
[현황 확인] HD.Acs.Core.Tests 47건이 전부 순수 로직 단위시험이고 API·DB E2E는 0건. 그중 4건(SeamSlicerTests)은 dormant 경로를 시험 중이다.</t>
        </is>
      </c>
      <c r="G33" s="10" t="inlineStr">
        <is>
          <t>핵심 시나리오(영역 등록 → Run 시작 → 전 구간 완료 → 진행률 100%)를 자동 E2E로 구성해 빌드에 연결.</t>
        </is>
      </c>
      <c r="H33" s="10" t="inlineStr">
        <is>
          <t>핵심 시나리오가 자동 실행되고, 실패 시 빌드가 차단될 것.</t>
        </is>
      </c>
    </row>
    <row r="34" ht="38" customHeight="1" s="6">
      <c r="A34" s="9" t="n">
        <v>30</v>
      </c>
      <c r="B34" s="9" t="inlineStr">
        <is>
          <t>이노로보틱스</t>
        </is>
      </c>
      <c r="C34" s="10" t="inlineStr">
        <is>
          <t>[배포] 앱·UI·DB 스키마 버전 불일치 (리스크관리 시트 31번 연계)</t>
        </is>
      </c>
      <c r="D34" s="9" t="n"/>
      <c r="E34" s="9" t="inlineStr">
        <is>
          <t>중간</t>
        </is>
      </c>
      <c r="F34" s="10" t="inlineStr">
        <is>
          <t>앱과 UI를 함께 재빌드하지 않아 구버전 UI가 제거된 API를 호출하는 불일치가 실제로 발생한 이력이 있음.</t>
        </is>
      </c>
      <c r="G34" s="10" t="inlineStr">
        <is>
          <t>배포 패키지를 클린 환경에 설치해 세 구성요소의 버전 정보를 상호 확인.</t>
        </is>
      </c>
      <c r="H34" s="10" t="inlineStr">
        <is>
          <t>앱·UI·DB 스키마 버전이 한 조로 관리되고, 불일치 시 기동 단계에서 경고 또는 거부.</t>
        </is>
      </c>
    </row>
    <row r="35" ht="38" customHeight="1" s="6">
      <c r="A35" s="9" t="n">
        <v>31</v>
      </c>
      <c r="B35" s="9" t="inlineStr">
        <is>
          <t>이노로보틱스</t>
        </is>
      </c>
      <c r="C35" s="10" t="inlineStr">
        <is>
          <t>[배포] 폐쇄망 빌드 재현성 미확인</t>
        </is>
      </c>
      <c r="D35" s="9" t="n"/>
      <c r="E35" s="9" t="inlineStr">
        <is>
          <t>중간</t>
        </is>
      </c>
      <c r="F35" s="10" t="inlineStr">
        <is>
          <t>외부 NuGet 피드(상용 UI 컨트롤 포함) 자격증명이 필요해, 폐쇄망에서 소스만으로 동일 산출물을 다시 빌드할 수 있는지 불확실.
[코드 확인] nuget.config 가 Telerik 전용 피드(nuget.telerik.com)를 등록하고 자격증명은 외부 주입을 전제한다 — 자격증명 없이는 복원 자체가 불가하다.</t>
        </is>
      </c>
      <c r="G35" s="10" t="inlineStr">
        <is>
          <t>인터넷 차단 환경에서 소스만으로 전체 솔루션 빌드를 시도.</t>
        </is>
      </c>
      <c r="H35" s="10" t="inlineStr">
        <is>
          <t>오프라인 패키지 캐시만으로 빌드 성공. 불가하면 빌드 산출물 보관·서명 정책으로 대체하고 문서화.</t>
        </is>
      </c>
    </row>
    <row r="36" s="6">
      <c r="A36" s="52" t="n">
        <v>32</v>
      </c>
      <c r="B36" s="52" t="inlineStr">
        <is>
          <t>이노로보틱스</t>
        </is>
      </c>
      <c r="C36" s="53" t="inlineStr">
        <is>
          <t>[좌표변환] 좌표 변환식·격벽 반폭 함수 중복 구현</t>
        </is>
      </c>
      <c r="D36" s="52" t="n"/>
      <c r="E36" s="52" t="inlineStr">
        <is>
          <t>중간</t>
        </is>
      </c>
      <c r="F36" s="53" t="inlineStr">
        <is>
          <t>(u,v)→도면 3D 변환의 정본은 Core 의 WallPose.LocalToDrawing 하나인데, 같은 식이 UI 4곳에 복제되어 있다. 격벽(F/A) 팔각 반폭 함수도 TankView.HalfWidth · TankViewModel.FaceOutlineUv · AreaPlanningViewModel.HalfWidthU 3곳에 중복되어 있다.
한 곳만 고치면 나머지가 조용히 어긋나며, 화면은 그럴듯하게 그려져 드러나지 않는다.</t>
        </is>
      </c>
      <c r="G36" s="53" t="inlineStr">
        <is>
          <t>인접 면이 공유하는 모서리 좌표가 4개 변환 경로 전부에서 일치하는지 단위시험으로 확인. 격벽 반폭은 세 구현에 동일 입력을 넣어 결과를 대조.</t>
        </is>
      </c>
      <c r="H36" s="53" t="inlineStr">
        <is>
          <t>공유 모서리 좌표가 전 경로에서 ≤ 1mm 일치. 반폭 3구현의 결과가 동일. 변환 규약을 한 곳만 바꾸면 시험이 실패로 잡아낼 것.</t>
        </is>
      </c>
    </row>
    <row r="37" s="6">
      <c r="A37" s="52" t="n">
        <v>33</v>
      </c>
      <c r="B37" s="52" t="inlineStr">
        <is>
          <t>이노로보틱스</t>
        </is>
      </c>
      <c r="C37" s="53" t="inlineStr">
        <is>
          <t>[운영화면] 3D 로봇 마커 위치 변환 누락</t>
        </is>
      </c>
      <c r="D37" s="52" t="n"/>
      <c r="E37" s="52" t="inlineStr">
        <is>
          <t>중간</t>
        </is>
      </c>
      <c r="F37" s="53" t="inlineStr">
        <is>
          <t>RobotStateDto.ReportedX/Y 는 AMR 맵 좌표인데 도면 좌표 3D 씬에 그대로 매핑하고 있다(TankView.xaml.cs — 코드에 placeholder 주석). T_W_D 역변환이 없고 z 도 0 고정이라 층이 반영되지 않는다.
두 프레임이 우연히 일치하지 않는 한 마커 위치는 틀린다.</t>
        </is>
      </c>
      <c r="G37" s="53" t="inlineStr">
        <is>
          <t>알려진 맵 좌표에 로봇을 두고 3D 뷰 마커 위치를 도면 실측 위치와 대조. 4개 층 각각 반복.</t>
        </is>
      </c>
      <c r="H37" s="53" t="inlineStr">
        <is>
          <t>마커가 실제 위치와 일치하고 층 전환 시 z 가 따라감. 유효 T_W_D 가 없는 층은 마커를 표시하지 않거나 미확정으로 표시.</t>
        </is>
      </c>
    </row>
    <row r="38" s="6">
      <c r="A38" s="52" t="n">
        <v>34</v>
      </c>
      <c r="B38" s="52" t="inlineStr">
        <is>
          <t>이노로보틱스</t>
        </is>
      </c>
      <c r="C38" s="53" t="inlineStr">
        <is>
          <t>[배포] 외부 접속 불가 바인딩</t>
        </is>
      </c>
      <c r="D38" s="52" t="n"/>
      <c r="E38" s="52" t="inlineStr">
        <is>
          <t>높음</t>
        </is>
      </c>
      <c r="F38" s="53" t="inlineStr">
        <is>
          <t>Program.cs:20 이 UseUrls("http://localhost:{port}") 로 루프백에 고정 바인딩한다. 같은 PC 밖에서는 접속할 수 없다.
고객사 진행률 폴링 연동과 다중 사용자 모니터링이 모두 이 설정 하나에 막힌다. 연동시험 당일에야 드러나면 그날을 통째로 잃는다.</t>
        </is>
      </c>
      <c r="G38" s="53" t="inlineStr">
        <is>
          <t>별도 PC 에서 조회 API 전 엔드포인트와 실시간 구독에 접속. 방화벽·포트(5100)·서버 IP 고정을 포함한 현장 배포 구성으로 시험.</t>
        </is>
      </c>
      <c r="H38" s="53" t="inlineStr">
        <is>
          <t>외부 PC 에서 전 조회 API 와 실시간 구독이 정상 동작. 바인딩 주소가 하드코딩이 아니라 설정으로 변경 가능.</t>
        </is>
      </c>
    </row>
  </sheetData>
  <autoFilter ref="A4:H38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6" min="1" max="1"/>
    <col width="7" customWidth="1" style="6" min="2" max="2"/>
    <col width="12" customWidth="1" style="6" min="3" max="3"/>
    <col width="26" customWidth="1" style="6" min="4" max="4"/>
    <col width="34" customWidth="1" style="6" min="5" max="5"/>
    <col width="36" customWidth="1" style="6" min="6" max="6"/>
    <col width="5" customWidth="1" style="6" min="7" max="7"/>
    <col width="32" customWidth="1" style="6" min="8" max="8"/>
    <col width="5" customWidth="1" style="6" min="9" max="9"/>
    <col width="22" customWidth="1" style="6" min="10" max="10"/>
    <col width="32" customWidth="1" style="6" min="11" max="11"/>
    <col width="5" customWidth="1" style="6" min="12" max="12"/>
    <col width="7" customWidth="1" style="6" min="13" max="13"/>
    <col width="6" customWidth="1" style="6" min="14" max="14"/>
    <col width="42" customWidth="1" style="6" min="15" max="15"/>
    <col width="38" customWidth="1" style="6" min="16" max="16"/>
    <col width="13" customWidth="1" style="6" min="17" max="17"/>
    <col width="11" customWidth="1" style="6" min="18" max="18"/>
    <col width="7" customWidth="1" style="6" min="19" max="19"/>
    <col width="7" customWidth="1" style="6" min="20" max="20"/>
    <col width="7" customWidth="1" style="6" min="21" max="21"/>
    <col width="8" customWidth="1" style="6" min="22" max="22"/>
  </cols>
  <sheetData>
    <row r="1" ht="24" customHeight="1" s="6">
      <c r="A1" s="44" t="inlineStr">
        <is>
          <t>HD_ACS S/W 검증 FMEA</t>
        </is>
      </c>
    </row>
    <row r="2">
      <c r="A2" s="45" t="inlineStr">
        <is>
          <t>대상: 「S_W 검증 리스크」 탭 31건 · 척도와 AP 판정 규칙은 「FMEA 척도정의」 탭 공용 · 2026-08-27</t>
        </is>
      </c>
    </row>
    <row r="4" ht="48" customHeight="1" s="6">
      <c r="A4" s="46" t="inlineStr">
        <is>
          <t>FMEA
번호</t>
        </is>
      </c>
      <c r="B4" s="46" t="inlineStr">
        <is>
          <t>원본
번호</t>
        </is>
      </c>
      <c r="C4" s="46" t="inlineStr">
        <is>
          <t>주체</t>
        </is>
      </c>
      <c r="D4" s="46" t="inlineStr">
        <is>
          <t>검증 대상</t>
        </is>
      </c>
      <c r="E4" s="46" t="inlineStr">
        <is>
          <t>고장 모드
(무엇이 잘못되는가)</t>
        </is>
      </c>
      <c r="F4" s="46" t="inlineStr">
        <is>
          <t>고장 영향
(그래서 무슨 일이 생기는가)</t>
        </is>
      </c>
      <c r="G4" s="46" t="inlineStr">
        <is>
          <t>S</t>
        </is>
      </c>
      <c r="H4" s="46" t="inlineStr">
        <is>
          <t>고장 원인
(왜 남아 있는가)</t>
        </is>
      </c>
      <c r="I4" s="46" t="inlineStr">
        <is>
          <t>O</t>
        </is>
      </c>
      <c r="J4" s="46" t="inlineStr">
        <is>
          <t>현행 관리 — 예방</t>
        </is>
      </c>
      <c r="K4" s="46" t="inlineStr">
        <is>
          <t>현행 관리 — 검출
(지금 이걸 잡을 수 있는가)</t>
        </is>
      </c>
      <c r="L4" s="46" t="inlineStr">
        <is>
          <t>D</t>
        </is>
      </c>
      <c r="M4" s="46" t="inlineStr">
        <is>
          <t>RPN</t>
        </is>
      </c>
      <c r="N4" s="46" t="inlineStr">
        <is>
          <t>AP</t>
        </is>
      </c>
      <c r="O4" s="46" t="inlineStr">
        <is>
          <t>권고 조치 (검증 방법)</t>
        </is>
      </c>
      <c r="P4" s="46" t="inlineStr">
        <is>
          <t>합격 기준</t>
        </is>
      </c>
      <c r="Q4" s="46" t="inlineStr">
        <is>
          <t>조치 시점
(제안)</t>
        </is>
      </c>
      <c r="R4" s="46" t="inlineStr">
        <is>
          <t>담당
(기입)</t>
        </is>
      </c>
      <c r="S4" s="46" t="inlineStr">
        <is>
          <t>조치후
S</t>
        </is>
      </c>
      <c r="T4" s="46" t="inlineStr">
        <is>
          <t>조치후
O</t>
        </is>
      </c>
      <c r="U4" s="46" t="inlineStr">
        <is>
          <t>조치후
D</t>
        </is>
      </c>
      <c r="V4" s="46" t="inlineStr">
        <is>
          <t>조치후
AP</t>
        </is>
      </c>
    </row>
    <row r="5">
      <c r="A5" s="47" t="inlineStr">
        <is>
          <t>SW-01</t>
        </is>
      </c>
      <c r="B5" s="47" t="n">
        <v>1</v>
      </c>
      <c r="C5" s="47" t="inlineStr">
        <is>
          <t>이노로보틱스</t>
        </is>
      </c>
      <c r="D5" s="48" t="inlineStr">
        <is>
          <t>T_W_D 캘리브레이션 품질 판정</t>
        </is>
      </c>
      <c r="E5" s="48" t="inlineStr">
        <is>
          <t>허용치가 없어 품질 미달 변환이 그대로 통과됨</t>
        </is>
      </c>
      <c r="F5" s="48" t="inlineStr">
        <is>
          <t>위치 오차가 코봇 보정 범위를 넘어 검사 실패·오촬영이 현장에서야 드러남</t>
        </is>
      </c>
      <c r="G5" s="47" t="n">
        <v>8</v>
      </c>
      <c r="H5" s="48" t="inlineStr">
        <is>
          <t>합격 임계값이 미정이고 경고만 있을 뿐 차단 장치가 없음</t>
        </is>
      </c>
      <c r="I5" s="47" t="n">
        <v>7</v>
      </c>
      <c r="J5" s="48" t="inlineStr">
        <is>
          <t>없음 — 기준점 선정·마킹 규약 미정</t>
        </is>
      </c>
      <c r="K5" s="48" t="inlineStr">
        <is>
          <t>캘리브레이션 시 잔차 RMS/Max 표시(경고). 기준점 3점이 일관되게 어긋나면 잔차가 작게 나와 검출되지 않음</t>
        </is>
      </c>
      <c r="L5" s="47" t="n">
        <v>7</v>
      </c>
      <c r="M5" s="47">
        <f>G5*I5*L5</f>
        <v/>
      </c>
      <c r="N5" s="49">
        <f>IF(G5&gt;=9,IF(I5&gt;=6,"H",IF(I5&gt;=4,IF(L5&gt;=2,"H","M"),IF(I5&gt;=2,IF(L5&gt;=7,"H",IF(L5&gt;=2,"M","L")),"L"))),IF(G5&gt;=7,IF(I5&gt;=8,IF(L5&gt;=2,"H","M"),IF(I5&gt;=6,IF(L5&gt;=5,"H","M"),IF(I5&gt;=4,IF(L5&gt;=7,"H",IF(L5&gt;=2,"M","L")),IF(I5&gt;=2,IF(L5&gt;=5,"M","L"),"L")))),IF(G5&gt;=4,IF(I5&gt;=8,IF(L5&gt;=7,"H",IF(L5&gt;=2,"M","L")),IF(I5&gt;=6,IF(L5&gt;=5,"M","L"),IF(I5&gt;=4,IF(L5&gt;=7,"M","L"),"L"))),IF(G5&gt;=2,IF(I5&gt;=8,IF(L5&gt;=7,"M","L"),"L"),"L"))))</f>
        <v/>
      </c>
      <c r="O5" s="48" t="inlineStr">
        <is>
          <t>기준점과 별개인 검증점 3점 이상으로 합격 판정. 임계 초과 시 Run 시작을 차단하는 hard gate 전환. 임계값은 비전 FOV·코봇 보정 범위에서 역산해 사전 확정.</t>
        </is>
      </c>
      <c r="P5" s="48" t="inlineStr">
        <is>
          <t>검증점 위치오차 RMS ≤ 사전 확정 목표값, Max ≤ 2×RMS. 4개 층 각각 만족.</t>
        </is>
      </c>
      <c r="Q5" s="47" t="inlineStr">
        <is>
          <t>~9/4</t>
        </is>
      </c>
      <c r="R5" s="47" t="n"/>
      <c r="S5" s="47" t="n"/>
      <c r="T5" s="47" t="n"/>
      <c r="U5" s="47" t="n"/>
      <c r="V5" s="47" t="n"/>
    </row>
    <row r="6">
      <c r="A6" s="47" t="inlineStr">
        <is>
          <t>SW-02</t>
        </is>
      </c>
      <c r="B6" s="47" t="n">
        <v>2</v>
      </c>
      <c r="C6" s="47" t="inlineStr">
        <is>
          <t>이노로보틱스</t>
        </is>
      </c>
      <c r="D6" s="48" t="inlineStr">
        <is>
          <t>면-로컬 → 도면 → 맵 3단 좌표 변환</t>
        </is>
      </c>
      <c r="E6" s="48" t="inlineStr">
        <is>
          <t>각 단계는 맞으나 결합 오차가 허용 범위를 넘음</t>
        </is>
      </c>
      <c r="F6" s="48" t="inlineStr">
        <is>
          <t>정차 위치가 어긋나 코봇이 대상 용접선을 잡지 못함</t>
        </is>
      </c>
      <c r="G6" s="47" t="n">
        <v>8</v>
      </c>
      <c r="H6" s="48" t="inlineStr">
        <is>
          <t>전체 오차 예산이 각 변환에 배분되지 않았고 실물 대조가 없음</t>
        </is>
      </c>
      <c r="I6" s="47" t="n">
        <v>6</v>
      </c>
      <c r="J6" s="48" t="inlineStr">
        <is>
          <t>단계별 순수 함수 단위시험</t>
        </is>
      </c>
      <c r="K6" s="48" t="inlineStr">
        <is>
          <t>단계별 단위시험만 존재. 결합 오차와 실물 정차 위치는 측정된 적 없음</t>
        </is>
      </c>
      <c r="L6" s="47" t="n">
        <v>8</v>
      </c>
      <c r="M6" s="47">
        <f>G6*I6*L6</f>
        <v/>
      </c>
      <c r="N6" s="49">
        <f>IF(G6&gt;=9,IF(I6&gt;=6,"H",IF(I6&gt;=4,IF(L6&gt;=2,"H","M"),IF(I6&gt;=2,IF(L6&gt;=7,"H",IF(L6&gt;=2,"M","L")),"L"))),IF(G6&gt;=7,IF(I6&gt;=8,IF(L6&gt;=2,"H","M"),IF(I6&gt;=6,IF(L6&gt;=5,"H","M"),IF(I6&gt;=4,IF(L6&gt;=7,"H",IF(L6&gt;=2,"M","L")),IF(I6&gt;=2,IF(L6&gt;=5,"M","L"),"L")))),IF(G6&gt;=4,IF(I6&gt;=8,IF(L6&gt;=7,"H",IF(L6&gt;=2,"M","L")),IF(I6&gt;=6,IF(L6&gt;=5,"M","L"),IF(I6&gt;=4,IF(L6&gt;=7,"M","L"),"L"))),IF(G6&gt;=2,IF(I6&gt;=8,IF(L6&gt;=7,"M","L"),"L"),"L"))))</f>
        <v/>
      </c>
      <c r="O6" s="48" t="inlineStr">
        <is>
          <t>정방향·역방향 왕복 오차 수치 측정 + 실제 로봇 정차 위치 실측 대조. 전체 오차 예산을 먼저 확정하고 각 변환에 배분.</t>
        </is>
      </c>
      <c r="P6" s="48" t="inlineStr">
        <is>
          <t>수치 왕복오차 ≤ 1mm. 실물 정차 오차가 코봇 보정 가능 범위 이내.</t>
        </is>
      </c>
      <c r="Q6" s="47" t="inlineStr">
        <is>
          <t>~9/2</t>
        </is>
      </c>
      <c r="R6" s="47" t="n"/>
      <c r="S6" s="47" t="n"/>
      <c r="T6" s="47" t="n"/>
      <c r="U6" s="47" t="n"/>
      <c r="V6" s="47" t="n"/>
    </row>
    <row r="7">
      <c r="A7" s="47" t="inlineStr">
        <is>
          <t>SW-03</t>
        </is>
      </c>
      <c r="B7" s="47" t="n">
        <v>3</v>
      </c>
      <c r="C7" s="47" t="inlineStr">
        <is>
          <t>이노로보틱스</t>
        </is>
      </c>
      <c r="D7" s="48" t="inlineStr">
        <is>
          <t>챔퍼 4면(경사면) 좌표 변환</t>
        </is>
      </c>
      <c r="E7" s="48" t="inlineStr">
        <is>
          <t>경사면 V축의 부호·성분 오류로 좌표가 면 반대편에 매핑됨</t>
        </is>
      </c>
      <c r="F7" s="48" t="inlineStr">
        <is>
          <t>그 면 전체의 검사 지점이 어긋남. 좌표 값은 유효 범위 안이라 오류로 보이지 않음</t>
        </is>
      </c>
      <c r="G7" s="47" t="n">
        <v>9</v>
      </c>
      <c r="H7" s="48" t="inlineStr">
        <is>
          <t>직사각형 면 기준 시험만 존재해 경사면 축 오류가 드러나지 않음</t>
        </is>
      </c>
      <c r="I7" s="47" t="n">
        <v>4</v>
      </c>
      <c r="J7" s="48" t="inlineStr">
        <is>
          <t>단계별 단위시험(직사각형 면 한정)</t>
        </is>
      </c>
      <c r="K7" s="48" t="inlineStr">
        <is>
          <t>없음 — 시뮬레이터에서 재현되지 않고 실물에서만 드러남</t>
        </is>
      </c>
      <c r="L7" s="47" t="n">
        <v>8</v>
      </c>
      <c r="M7" s="47">
        <f>G7*I7*L7</f>
        <v/>
      </c>
      <c r="N7" s="49">
        <f>IF(G7&gt;=9,IF(I7&gt;=6,"H",IF(I7&gt;=4,IF(L7&gt;=2,"H","M"),IF(I7&gt;=2,IF(L7&gt;=7,"H",IF(L7&gt;=2,"M","L")),"L"))),IF(G7&gt;=7,IF(I7&gt;=8,IF(L7&gt;=2,"H","M"),IF(I7&gt;=6,IF(L7&gt;=5,"H","M"),IF(I7&gt;=4,IF(L7&gt;=7,"H",IF(L7&gt;=2,"M","L")),IF(I7&gt;=2,IF(L7&gt;=5,"M","L"),"L")))),IF(G7&gt;=4,IF(I7&gt;=8,IF(L7&gt;=7,"H",IF(L7&gt;=2,"M","L")),IF(I7&gt;=6,IF(L7&gt;=5,"M","L"),IF(I7&gt;=4,IF(L7&gt;=7,"M","L"),"L"))),IF(G7&gt;=2,IF(I7&gt;=8,IF(L7&gt;=7,"M","L"),"L"),"L"))))</f>
        <v/>
      </c>
      <c r="O7" s="48" t="inlineStr">
        <is>
          <t>PL/SL/PU/SU 각 면의 네 모서리와 중앙 5점의 (u,v)→전역 좌표를 수계산 값과 대조하는 단위시험 추가.</t>
        </is>
      </c>
      <c r="P7" s="48" t="inlineStr">
        <is>
          <t>5점 전부 ≤ 1mm 일치. 인접 면이 공유하는 모서리의 전역 좌표가 서로 일치.</t>
        </is>
      </c>
      <c r="Q7" s="47" t="inlineStr">
        <is>
          <t>Pre-POC 진행시</t>
        </is>
      </c>
      <c r="R7" s="47" t="n"/>
      <c r="S7" s="47" t="n"/>
      <c r="T7" s="47" t="n"/>
      <c r="U7" s="47" t="n"/>
      <c r="V7" s="47" t="n"/>
    </row>
    <row r="8">
      <c r="A8" s="47" t="inlineStr">
        <is>
          <t>SW-04</t>
        </is>
      </c>
      <c r="B8" s="47" t="n">
        <v>4</v>
      </c>
      <c r="C8" s="47" t="inlineStr">
        <is>
          <t>이노로보틱스</t>
        </is>
      </c>
      <c r="D8" s="48" t="inlineStr">
        <is>
          <t>격벽(팔각) 영역·작업 경계 검증</t>
        </is>
      </c>
      <c r="E8" s="48" t="inlineStr">
        <is>
          <t>챔퍼로 잘려나간 모서리 바깥에 영역·작업 등록이 통과됨</t>
        </is>
      </c>
      <c r="F8" s="48" t="inlineStr">
        <is>
          <t>도달 불가 위치에 TASK가 생성되어 실행 시 반복 실패 후 스킵</t>
        </is>
      </c>
      <c r="G8" s="47" t="n">
        <v>6</v>
      </c>
      <c r="H8" s="48" t="inlineStr">
        <is>
          <t>경계 검증 코드에 면을 직사각형으로 보는 가정이 잔존</t>
        </is>
      </c>
      <c r="I8" s="47" t="n">
        <v>6</v>
      </c>
      <c r="J8" s="48" t="inlineStr">
        <is>
          <t>point-in-polygon 검증이 일부 경로에만 적용</t>
        </is>
      </c>
      <c r="K8" s="48" t="inlineStr">
        <is>
          <t>실행 중 실패로만 드러남 — 그 시점에는 이미 현장</t>
        </is>
      </c>
      <c r="L8" s="47" t="n">
        <v>5</v>
      </c>
      <c r="M8" s="47">
        <f>G8*I8*L8</f>
        <v/>
      </c>
      <c r="N8" s="49">
        <f>IF(G8&gt;=9,IF(I8&gt;=6,"H",IF(I8&gt;=4,IF(L8&gt;=2,"H","M"),IF(I8&gt;=2,IF(L8&gt;=7,"H",IF(L8&gt;=2,"M","L")),"L"))),IF(G8&gt;=7,IF(I8&gt;=8,IF(L8&gt;=2,"H","M"),IF(I8&gt;=6,IF(L8&gt;=5,"H","M"),IF(I8&gt;=4,IF(L8&gt;=7,"H",IF(L8&gt;=2,"M","L")),IF(I8&gt;=2,IF(L8&gt;=5,"M","L"),"L")))),IF(G8&gt;=4,IF(I8&gt;=8,IF(L8&gt;=7,"H",IF(L8&gt;=2,"M","L")),IF(I8&gt;=6,IF(L8&gt;=5,"M","L"),IF(I8&gt;=4,IF(L8&gt;=7,"M","L"),"L"))),IF(G8&gt;=2,IF(I8&gt;=8,IF(L8&gt;=7,"M","L"),"L"),"L"))))</f>
        <v/>
      </c>
      <c r="O8" s="48" t="inlineStr">
        <is>
          <t>팔각 외부 / 경계선 위 / 내부 3종 좌표로 영역·작업 등록 API 호출 시험 추가.</t>
        </is>
      </c>
      <c r="P8" s="48" t="inlineStr">
        <is>
          <t>외부는 400 거부, 경계선 위는 정의된 정책대로 일관 처리, 내부는 정상 등록.</t>
        </is>
      </c>
      <c r="Q8" s="47" t="inlineStr">
        <is>
          <t>Pre-POC 진행시</t>
        </is>
      </c>
      <c r="R8" s="47" t="n"/>
      <c r="S8" s="47" t="n"/>
      <c r="T8" s="47" t="n"/>
      <c r="U8" s="47" t="n"/>
      <c r="V8" s="47" t="n"/>
    </row>
    <row r="9">
      <c r="A9" s="47" t="inlineStr">
        <is>
          <t>SW-05</t>
        </is>
      </c>
      <c r="B9" s="47" t="n">
        <v>5</v>
      </c>
      <c r="C9" s="47" t="inlineStr">
        <is>
          <t>이노로보틱스</t>
        </is>
      </c>
      <c r="D9" s="48" t="inlineStr">
        <is>
          <t>층(level) 자동 유도</t>
        </is>
      </c>
      <c r="E9" s="48" t="inlineStr">
        <is>
          <t>층 경계에 걸친 영역이 조용히 한쪽 층으로 배정되거나, 거부 사유가 원인을 특정하지 못함</t>
        </is>
      </c>
      <c r="F9" s="48" t="inlineStr">
        <is>
          <t>잘못된 층에서 배차되어 도달 불가. 또는 운영자가 원인을 못 찾아 등록이 막힘</t>
        </is>
      </c>
      <c r="G9" s="47" t="n">
        <v>6</v>
      </c>
      <c r="H9" s="48" t="inlineStr">
        <is>
          <t>ε=5mm 경계 케이스의 처리 결과가 확인되지 않음</t>
        </is>
      </c>
      <c r="I9" s="47" t="n">
        <v>5</v>
      </c>
      <c r="J9" s="48" t="inlineStr">
        <is>
          <t>ε 허용 로직 + 400 사유 반환</t>
        </is>
      </c>
      <c r="K9" s="48" t="inlineStr">
        <is>
          <t>400 사유 문구는 있으나 케이스별로 확인된 적 없음</t>
        </is>
      </c>
      <c r="L9" s="47" t="n">
        <v>4</v>
      </c>
      <c r="M9" s="47">
        <f>G9*I9*L9</f>
        <v/>
      </c>
      <c r="N9" s="49">
        <f>IF(G9&gt;=9,IF(I9&gt;=6,"H",IF(I9&gt;=4,IF(L9&gt;=2,"H","M"),IF(I9&gt;=2,IF(L9&gt;=7,"H",IF(L9&gt;=2,"M","L")),"L"))),IF(G9&gt;=7,IF(I9&gt;=8,IF(L9&gt;=2,"H","M"),IF(I9&gt;=6,IF(L9&gt;=5,"H","M"),IF(I9&gt;=4,IF(L9&gt;=7,"H",IF(L9&gt;=2,"M","L")),IF(I9&gt;=2,IF(L9&gt;=5,"M","L"),"L")))),IF(G9&gt;=4,IF(I9&gt;=8,IF(L9&gt;=7,"H",IF(L9&gt;=2,"M","L")),IF(I9&gt;=6,IF(L9&gt;=5,"M","L"),IF(I9&gt;=4,IF(L9&gt;=7,"M","L"),"L"))),IF(G9&gt;=2,IF(I9&gt;=8,IF(L9&gt;=7,"M","L"),"L"),"L"))))</f>
        <v/>
      </c>
      <c r="O9" s="48" t="inlineStr">
        <is>
          <t>경계±ε / 두 층 걸침 / 밴드 밖 / 정상 4종 케이스 등록 시험.</t>
        </is>
      </c>
      <c r="P9" s="48" t="inlineStr">
        <is>
          <t>각 케이스에서 사유 문구만 읽고 원인 특정 가능. 조용한 기본 층 배정 없음.</t>
        </is>
      </c>
      <c r="Q9" s="47" t="inlineStr">
        <is>
          <t>POC 진행시</t>
        </is>
      </c>
      <c r="R9" s="47" t="n"/>
      <c r="S9" s="47" t="n"/>
      <c r="T9" s="47" t="n"/>
      <c r="U9" s="47" t="n"/>
      <c r="V9" s="47" t="n"/>
    </row>
    <row r="10">
      <c r="A10" s="47" t="inlineStr">
        <is>
          <t>SW-06</t>
        </is>
      </c>
      <c r="B10" s="47" t="n">
        <v>6</v>
      </c>
      <c r="C10" s="47" t="inlineStr">
        <is>
          <t>이노로보틱스</t>
        </is>
      </c>
      <c r="D10" s="48" t="inlineStr">
        <is>
          <t>최근접(greedy) 배차 동선</t>
        </is>
      </c>
      <c r="E10" s="48" t="inlineStr">
        <is>
          <t>통로 구조를 반영하지 못해 같은 구역을 반복 왕복</t>
        </is>
      </c>
      <c r="F10" s="48" t="inlineStr">
        <is>
          <t>1선창 검사 소요시간이 늘어 목표 시간을 초과</t>
        </is>
      </c>
      <c r="G10" s="47" t="n">
        <v>5</v>
      </c>
      <c r="H10" s="48" t="inlineStr">
        <is>
          <t>맵 프레임 직선거리만 고려하고 장애물·통로를 반영하지 않음</t>
        </is>
      </c>
      <c r="I10" s="47" t="n">
        <v>6</v>
      </c>
      <c r="J10" s="48" t="inlineStr">
        <is>
          <t>없음</t>
        </is>
      </c>
      <c r="K10" s="48" t="inlineStr">
        <is>
          <t>총 이동거리를 측정하거나 대안 정책과 비교한 적 없음</t>
        </is>
      </c>
      <c r="L10" s="47" t="n">
        <v>5</v>
      </c>
      <c r="M10" s="47">
        <f>G10*I10*L10</f>
        <v/>
      </c>
      <c r="N10" s="49">
        <f>IF(G10&gt;=9,IF(I10&gt;=6,"H",IF(I10&gt;=4,IF(L10&gt;=2,"H","M"),IF(I10&gt;=2,IF(L10&gt;=7,"H",IF(L10&gt;=2,"M","L")),"L"))),IF(G10&gt;=7,IF(I10&gt;=8,IF(L10&gt;=2,"H","M"),IF(I10&gt;=6,IF(L10&gt;=5,"H","M"),IF(I10&gt;=4,IF(L10&gt;=7,"H",IF(L10&gt;=2,"M","L")),IF(I10&gt;=2,IF(L10&gt;=5,"M","L"),"L")))),IF(G10&gt;=4,IF(I10&gt;=8,IF(L10&gt;=7,"H",IF(L10&gt;=2,"M","L")),IF(I10&gt;=6,IF(L10&gt;=5,"M","L"),IF(I10&gt;=4,IF(L10&gt;=7,"M","L"),"L"))),IF(G10&gt;=2,IF(I10&gt;=8,IF(L10&gt;=7,"M","L"),"L"),"L"))))</f>
        <v/>
      </c>
      <c r="O10" s="48" t="inlineStr">
        <is>
          <t>실제 Area 배치로 전 구간 실행해 총 이동거리 기록, serpentine 등 대안 정책과 비교.</t>
        </is>
      </c>
      <c r="P10" s="48" t="inlineStr">
        <is>
          <t>총 이동거리가 대안 정책 대비 +20% 이내. 동일 구역 반복 왕복 없음.</t>
        </is>
      </c>
      <c r="Q10" s="47" t="inlineStr">
        <is>
          <t>POC 진행시</t>
        </is>
      </c>
      <c r="R10" s="47" t="n"/>
      <c r="S10" s="47" t="n"/>
      <c r="T10" s="47" t="n"/>
      <c r="U10" s="47" t="n"/>
      <c r="V10" s="47" t="n"/>
    </row>
    <row r="11">
      <c r="A11" s="47" t="inlineStr">
        <is>
          <t>SW-07</t>
        </is>
      </c>
      <c r="B11" s="47" t="n">
        <v>7</v>
      </c>
      <c r="C11" s="47" t="inlineStr">
        <is>
          <t>이노로보틱스</t>
        </is>
      </c>
      <c r="D11" s="48" t="inlineStr">
        <is>
          <t>재시도 → 스킵 전이 정책</t>
        </is>
      </c>
      <c r="E11" s="48" t="inlineStr">
        <is>
          <t>과거 실패 이력이 잔존해 재시도가 성공해도 실패로 판정됨</t>
        </is>
      </c>
      <c r="F11" s="48" t="inlineStr">
        <is>
          <t>정상적으로 검사된 구간이 SKIPPED로 기록되어 미검사로 남고 알람이 오발생</t>
        </is>
      </c>
      <c r="G11" s="47" t="n">
        <v>8</v>
      </c>
      <c r="H11" s="48" t="inlineStr">
        <is>
          <t>정차 종결 판정이 해당 work_item의 전체 이력을 봄 — 결함이 이미 확인됨</t>
        </is>
      </c>
      <c r="I11" s="47" t="n">
        <v>9</v>
      </c>
      <c r="J11" s="48" t="inlineStr">
        <is>
          <t>재시도/스킵 정책 자체는 구현되어 있음</t>
        </is>
      </c>
      <c r="K11" s="48" t="inlineStr">
        <is>
          <t>해당 시나리오가 시뮬레이터 시험에 구성되어 있지 않음</t>
        </is>
      </c>
      <c r="L11" s="47" t="n">
        <v>5</v>
      </c>
      <c r="M11" s="47">
        <f>G11*I11*L11</f>
        <v/>
      </c>
      <c r="N11" s="49">
        <f>IF(G11&gt;=9,IF(I11&gt;=6,"H",IF(I11&gt;=4,IF(L11&gt;=2,"H","M"),IF(I11&gt;=2,IF(L11&gt;=7,"H",IF(L11&gt;=2,"M","L")),"L"))),IF(G11&gt;=7,IF(I11&gt;=8,IF(L11&gt;=2,"H","M"),IF(I11&gt;=6,IF(L11&gt;=5,"H","M"),IF(I11&gt;=4,IF(L11&gt;=7,"H",IF(L11&gt;=2,"M","L")),IF(I11&gt;=2,IF(L11&gt;=5,"M","L"),"L")))),IF(G11&gt;=4,IF(I11&gt;=8,IF(L11&gt;=7,"H",IF(L11&gt;=2,"M","L")),IF(I11&gt;=6,IF(L11&gt;=5,"M","L"),IF(I11&gt;=4,IF(L11&gt;=7,"M","L"),"L"))),IF(G11&gt;=2,IF(I11&gt;=8,IF(L11&gt;=7,"M","L"),"L"),"L"))))</f>
        <v/>
      </c>
      <c r="O11" s="48" t="inlineStr">
        <is>
          <t>(a) 1회 실패 후 성공, (b) N회 연속 실패 두 시나리오 실행.</t>
        </is>
      </c>
      <c r="P11" s="48" t="inlineStr">
        <is>
          <t>(a) DONE 기록·알람 없음. (b) SKIPPED 1건 + 알람 1건, 중복 알람 없음.</t>
        </is>
      </c>
      <c r="Q11" s="47" t="inlineStr">
        <is>
          <t>즉시</t>
        </is>
      </c>
      <c r="R11" s="47" t="n"/>
      <c r="S11" s="47" t="n"/>
      <c r="T11" s="47" t="n"/>
      <c r="U11" s="47" t="n"/>
      <c r="V11" s="47" t="n"/>
    </row>
    <row r="12">
      <c r="A12" s="47" t="inlineStr">
        <is>
          <t>SW-08</t>
        </is>
      </c>
      <c r="B12" s="47" t="n">
        <v>8</v>
      </c>
      <c r="C12" s="47" t="inlineStr">
        <is>
          <t>이노로보틱스</t>
        </is>
      </c>
      <c r="D12" s="48" t="inlineStr">
        <is>
          <t>층 소진 → 전환 대기 → 재개</t>
        </is>
      </c>
      <c r="E12" s="48" t="inlineStr">
        <is>
          <t>전환·재개 경로에서 상태가 이탈해 Run이 진행되지 않거나 작업이 중복 발행됨</t>
        </is>
      </c>
      <c r="F12" s="48" t="inlineStr">
        <is>
          <t>검사 중단과 수동 개입. 최악의 경우 Run 재시작</t>
        </is>
      </c>
      <c r="G12" s="47" t="n">
        <v>7</v>
      </c>
      <c r="H12" s="48" t="inlineStr">
        <is>
          <t>층 전환 전 경로가 통합 검증된 적 없음</t>
        </is>
      </c>
      <c r="I12" s="47" t="n">
        <v>5</v>
      </c>
      <c r="J12" s="48" t="inlineStr">
        <is>
          <t>상태머신 기반 전이</t>
        </is>
      </c>
      <c r="K12" s="48" t="inlineStr">
        <is>
          <t>4개 층 연속 실행 시험이 없음</t>
        </is>
      </c>
      <c r="L12" s="47" t="n">
        <v>5</v>
      </c>
      <c r="M12" s="47">
        <f>G12*I12*L12</f>
        <v/>
      </c>
      <c r="N12" s="49">
        <f>IF(G12&gt;=9,IF(I12&gt;=6,"H",IF(I12&gt;=4,IF(L12&gt;=2,"H","M"),IF(I12&gt;=2,IF(L12&gt;=7,"H",IF(L12&gt;=2,"M","L")),"L"))),IF(G12&gt;=7,IF(I12&gt;=8,IF(L12&gt;=2,"H","M"),IF(I12&gt;=6,IF(L12&gt;=5,"H","M"),IF(I12&gt;=4,IF(L12&gt;=7,"H",IF(L12&gt;=2,"M","L")),IF(I12&gt;=2,IF(L12&gt;=5,"M","L"),"L")))),IF(G12&gt;=4,IF(I12&gt;=8,IF(L12&gt;=7,"H",IF(L12&gt;=2,"M","L")),IF(I12&gt;=6,IF(L12&gt;=5,"M","L"),IF(I12&gt;=4,IF(L12&gt;=7,"M","L"),"L"))),IF(G12&gt;=2,IF(I12&gt;=8,IF(L12&gt;=7,"M","L"),"L"),"L"))))</f>
        <v/>
      </c>
      <c r="O12" s="48" t="inlineStr">
        <is>
          <t>4개 층 전 구간 연속 실행하며 각 전환점에서 수동 층 변경. 잘못된 층으로 변경하는 케이스 포함.</t>
        </is>
      </c>
      <c r="P12" s="48" t="inlineStr">
        <is>
          <t>4개 층 소진 후 Run 완료 종결. 중간 상태 이탈 없음. 층 오입력 시 게이트가 거부.</t>
        </is>
      </c>
      <c r="Q12" s="47" t="inlineStr">
        <is>
          <t>Pre-POC 진행시</t>
        </is>
      </c>
      <c r="R12" s="47" t="n"/>
      <c r="S12" s="47" t="n"/>
      <c r="T12" s="47" t="n"/>
      <c r="U12" s="47" t="n"/>
      <c r="V12" s="47" t="n"/>
    </row>
    <row r="13">
      <c r="A13" s="47" t="inlineStr">
        <is>
          <t>SW-09</t>
        </is>
      </c>
      <c r="B13" s="47" t="n">
        <v>9</v>
      </c>
      <c r="C13" s="47" t="inlineStr">
        <is>
          <t>이노로보틱스</t>
        </is>
      </c>
      <c r="D13" s="48" t="inlineStr">
        <is>
          <t>비상정지 후 복구</t>
        </is>
      </c>
      <c r="E13" s="48" t="inlineStr">
        <is>
          <t>정지 후 재개 시 진행 중이던 작업의 상태가 불확정 — 중복 발행 또는 유실</t>
        </is>
      </c>
      <c r="F13" s="48" t="inlineStr">
        <is>
          <t>같은 지점 재검사 또는 미검사. 안전 조작 직후라 운영 신뢰에 직결</t>
        </is>
      </c>
      <c r="G13" s="47" t="n">
        <v>8</v>
      </c>
      <c r="H13" s="48" t="inlineStr">
        <is>
          <t>정지·재개 경로가 검증된 적 없음</t>
        </is>
      </c>
      <c r="I13" s="47" t="n">
        <v>5</v>
      </c>
      <c r="J13" s="48" t="inlineStr">
        <is>
          <t>즉시 액션 전달 경로 구현</t>
        </is>
      </c>
      <c r="K13" s="48" t="inlineStr">
        <is>
          <t>없음 — 정지 시험 자체를 수행한 적 없음</t>
        </is>
      </c>
      <c r="L13" s="47" t="n">
        <v>6</v>
      </c>
      <c r="M13" s="47">
        <f>G13*I13*L13</f>
        <v/>
      </c>
      <c r="N13" s="49">
        <f>IF(G13&gt;=9,IF(I13&gt;=6,"H",IF(I13&gt;=4,IF(L13&gt;=2,"H","M"),IF(I13&gt;=2,IF(L13&gt;=7,"H",IF(L13&gt;=2,"M","L")),"L"))),IF(G13&gt;=7,IF(I13&gt;=8,IF(L13&gt;=2,"H","M"),IF(I13&gt;=6,IF(L13&gt;=5,"H","M"),IF(I13&gt;=4,IF(L13&gt;=7,"H",IF(L13&gt;=2,"M","L")),IF(I13&gt;=2,IF(L13&gt;=5,"M","L"),"L")))),IF(G13&gt;=4,IF(I13&gt;=8,IF(L13&gt;=7,"H",IF(L13&gt;=2,"M","L")),IF(I13&gt;=6,IF(L13&gt;=5,"M","L"),IF(I13&gt;=4,IF(L13&gt;=7,"M","L"),"L"))),IF(G13&gt;=2,IF(I13&gt;=8,IF(L13&gt;=7,"M","L"),"L"),"L"))))</f>
        <v/>
      </c>
      <c r="O13" s="48" t="inlineStr">
        <is>
          <t>정차 이동 중과 검사 수행 중 각각에서 비상정지 후 재개.</t>
        </is>
      </c>
      <c r="P13" s="48" t="inlineStr">
        <is>
          <t>재개 시 동일 작업 중복 발행 없음. 정지 시점 작업 상태가 하나로 확정.</t>
        </is>
      </c>
      <c r="Q13" s="47" t="inlineStr">
        <is>
          <t>Pre-POC 진행시</t>
        </is>
      </c>
      <c r="R13" s="47" t="n"/>
      <c r="S13" s="47" t="n"/>
      <c r="T13" s="47" t="n"/>
      <c r="U13" s="47" t="n"/>
      <c r="V13" s="47" t="n"/>
    </row>
    <row r="14">
      <c r="A14" s="47" t="inlineStr">
        <is>
          <t>SW-10</t>
        </is>
      </c>
      <c r="B14" s="47" t="n">
        <v>10</v>
      </c>
      <c r="C14" s="47" t="inlineStr">
        <is>
          <t>이노로보틱스</t>
        </is>
      </c>
      <c r="D14" s="48" t="inlineStr">
        <is>
          <t>상태머신 전이 커버리지</t>
        </is>
      </c>
      <c r="E14" s="48" t="inlineStr">
        <is>
          <t>정의되지 않은 전이가 조용히 통과해 상태가 실제와 어긋남</t>
        </is>
      </c>
      <c r="F14" s="48" t="inlineStr">
        <is>
          <t>미션 상태와 실제 진행이 불일치. 장애 시 원인 추적이 어려움</t>
        </is>
      </c>
      <c r="G14" s="47" t="n">
        <v>6</v>
      </c>
      <c r="H14" s="48" t="inlineStr">
        <is>
          <t>전이 전수 시험이 없어 실패 경로가 덮여 있는지 알 수 없음</t>
        </is>
      </c>
      <c r="I14" s="47" t="n">
        <v>5</v>
      </c>
      <c r="J14" s="48" t="inlineStr">
        <is>
          <t>명시적 상태머신 채택</t>
        </is>
      </c>
      <c r="K14" s="48" t="inlineStr">
        <is>
          <t>부분 시험만 존재</t>
        </is>
      </c>
      <c r="L14" s="47" t="n">
        <v>5</v>
      </c>
      <c r="M14" s="47">
        <f>G14*I14*L14</f>
        <v/>
      </c>
      <c r="N14" s="49">
        <f>IF(G14&gt;=9,IF(I14&gt;=6,"H",IF(I14&gt;=4,IF(L14&gt;=2,"H","M"),IF(I14&gt;=2,IF(L14&gt;=7,"H",IF(L14&gt;=2,"M","L")),"L"))),IF(G14&gt;=7,IF(I14&gt;=8,IF(L14&gt;=2,"H","M"),IF(I14&gt;=6,IF(L14&gt;=5,"H","M"),IF(I14&gt;=4,IF(L14&gt;=7,"H",IF(L14&gt;=2,"M","L")),IF(I14&gt;=2,IF(L14&gt;=5,"M","L"),"L")))),IF(G14&gt;=4,IF(I14&gt;=8,IF(L14&gt;=7,"H",IF(L14&gt;=2,"M","L")),IF(I14&gt;=6,IF(L14&gt;=5,"M","L"),IF(I14&gt;=4,IF(L14&gt;=7,"M","L"),"L"))),IF(G14&gt;=2,IF(I14&gt;=8,IF(L14&gt;=7,"M","L"),"L"),"L"))))</f>
        <v/>
      </c>
      <c r="O14" s="48" t="inlineStr">
        <is>
          <t>상태×트리거 조합표를 만들어 허용 전이·금지 전이를 단위시험으로 전수 확인.</t>
        </is>
      </c>
      <c r="P14" s="48" t="inlineStr">
        <is>
          <t>정의된 전이 100%에 대응 시험 존재. 금지 전이 호출 시 예외 또는 명시적 무시(조용한 통과 없음).</t>
        </is>
      </c>
      <c r="Q14" s="47" t="inlineStr">
        <is>
          <t>POC 진행시</t>
        </is>
      </c>
      <c r="R14" s="47" t="n"/>
      <c r="S14" s="47" t="n"/>
      <c r="T14" s="47" t="n"/>
      <c r="U14" s="47" t="n"/>
      <c r="V14" s="47" t="n"/>
    </row>
    <row r="15">
      <c r="A15" s="47" t="inlineStr">
        <is>
          <t>SW-11</t>
        </is>
      </c>
      <c r="B15" s="47" t="n">
        <v>11</v>
      </c>
      <c r="C15" s="47" t="inlineStr">
        <is>
          <t>이노로보틱스</t>
        </is>
      </c>
      <c r="D15" s="48" t="inlineStr">
        <is>
          <t>진행률 분모 산출</t>
        </is>
      </c>
      <c r="E15" s="48" t="inlineStr">
        <is>
          <t>분모가 0이 되어 진행률이 무의미한 값으로 대외 노출됨</t>
        </is>
      </c>
      <c r="F15" s="48" t="inlineStr">
        <is>
          <t>고객사 화면에 잘못된 진행률이 그대로 표시되어 연동 신뢰가 훼손</t>
        </is>
      </c>
      <c r="G15" s="47" t="n">
        <v>7</v>
      </c>
      <c r="H15" s="48" t="inlineStr">
        <is>
          <t>진행률 서비스가 참조하는 테이블과 실제 배차 큐 생성 경로가 다름 — 결함 확인됨</t>
        </is>
      </c>
      <c r="I15" s="47" t="n">
        <v>9</v>
      </c>
      <c r="J15" s="48" t="inlineStr">
        <is>
          <t>없음</t>
        </is>
      </c>
      <c r="K15" s="48" t="inlineStr">
        <is>
          <t>Run 시작 직후 값을 대조하는 절차가 없음. 한 번만 조회하면 즉시 드러남</t>
        </is>
      </c>
      <c r="L15" s="47" t="n">
        <v>3</v>
      </c>
      <c r="M15" s="47">
        <f>G15*I15*L15</f>
        <v/>
      </c>
      <c r="N15" s="49">
        <f>IF(G15&gt;=9,IF(I15&gt;=6,"H",IF(I15&gt;=4,IF(L15&gt;=2,"H","M"),IF(I15&gt;=2,IF(L15&gt;=7,"H",IF(L15&gt;=2,"M","L")),"L"))),IF(G15&gt;=7,IF(I15&gt;=8,IF(L15&gt;=2,"H","M"),IF(I15&gt;=6,IF(L15&gt;=5,"H","M"),IF(I15&gt;=4,IF(L15&gt;=7,"H",IF(L15&gt;=2,"M","L")),IF(I15&gt;=2,IF(L15&gt;=5,"M","L"),"L")))),IF(G15&gt;=4,IF(I15&gt;=8,IF(L15&gt;=7,"H",IF(L15&gt;=2,"M","L")),IF(I15&gt;=6,IF(L15&gt;=5,"M","L"),IF(I15&gt;=4,IF(L15&gt;=7,"M","L"),"L"))),IF(G15&gt;=2,IF(I15&gt;=8,IF(L15&gt;=7,"M","L"),"L"),"L"))))</f>
        <v/>
      </c>
      <c r="O15" s="48" t="inlineStr">
        <is>
          <t>TASK 수를 미리 아는 시나리오로 Run 시작 직후 totalTasks 조회.</t>
        </is>
      </c>
      <c r="P15" s="48" t="inlineStr">
        <is>
          <t>totalTasks = 등록 TASK 수 − excludedTasks. Run 진행 중 분모 불변.</t>
        </is>
      </c>
      <c r="Q15" s="47" t="inlineStr">
        <is>
          <t>즉시</t>
        </is>
      </c>
      <c r="R15" s="47" t="n"/>
      <c r="S15" s="47" t="n"/>
      <c r="T15" s="47" t="n"/>
      <c r="U15" s="47" t="n"/>
      <c r="V15" s="47" t="n"/>
    </row>
    <row r="16">
      <c r="A16" s="47" t="inlineStr">
        <is>
          <t>SW-12</t>
        </is>
      </c>
      <c r="B16" s="47" t="n">
        <v>12</v>
      </c>
      <c r="C16" s="47" t="inlineStr">
        <is>
          <t>이노로보틱스</t>
        </is>
      </c>
      <c r="D16" s="48" t="inlineStr">
        <is>
          <t>진행률 단조성·완결성</t>
        </is>
      </c>
      <c r="E16" s="48" t="inlineStr">
        <is>
          <t>진행률이 되돌아가거나 100%를 초과함</t>
        </is>
      </c>
      <c r="F16" s="48" t="inlineStr">
        <is>
          <t>고객사가 완료 판정을 하지 못하거나 잘못 판정</t>
        </is>
      </c>
      <c r="G16" s="47" t="n">
        <v>7</v>
      </c>
      <c r="H16" s="48" t="inlineStr">
        <is>
          <t>재배차 시 고유 taskId 기준 중복 제거가 없음</t>
        </is>
      </c>
      <c r="I16" s="47" t="n">
        <v>8</v>
      </c>
      <c r="J16" s="48" t="inlineStr">
        <is>
          <t>work_item 상태 기반 집계</t>
        </is>
      </c>
      <c r="K16" s="48" t="inlineStr">
        <is>
          <t>전 구간 시계열 폴링 기록을 남긴 적 없음</t>
        </is>
      </c>
      <c r="L16" s="47" t="n">
        <v>4</v>
      </c>
      <c r="M16" s="47">
        <f>G16*I16*L16</f>
        <v/>
      </c>
      <c r="N16" s="49">
        <f>IF(G16&gt;=9,IF(I16&gt;=6,"H",IF(I16&gt;=4,IF(L16&gt;=2,"H","M"),IF(I16&gt;=2,IF(L16&gt;=7,"H",IF(L16&gt;=2,"M","L")),"L"))),IF(G16&gt;=7,IF(I16&gt;=8,IF(L16&gt;=2,"H","M"),IF(I16&gt;=6,IF(L16&gt;=5,"H","M"),IF(I16&gt;=4,IF(L16&gt;=7,"H",IF(L16&gt;=2,"M","L")),IF(I16&gt;=2,IF(L16&gt;=5,"M","L"),"L")))),IF(G16&gt;=4,IF(I16&gt;=8,IF(L16&gt;=7,"H",IF(L16&gt;=2,"M","L")),IF(I16&gt;=6,IF(L16&gt;=5,"M","L"),IF(I16&gt;=4,IF(L16&gt;=7,"M","L"),"L"))),IF(G16&gt;=2,IF(I16&gt;=8,IF(L16&gt;=7,"M","L"),"L"),"L"))))</f>
        <v/>
      </c>
      <c r="O16" s="48" t="inlineStr">
        <is>
          <t>전 구간 실행 중 1~5초 주기로 진행률을 폴링해 시계열 기록.</t>
        </is>
      </c>
      <c r="P16" s="48" t="inlineStr">
        <is>
          <t>percent 단조 비감소. 최종값 정확히 100.0. 구간 중 100 초과 없음.</t>
        </is>
      </c>
      <c r="Q16" s="47" t="inlineStr">
        <is>
          <t>즉시</t>
        </is>
      </c>
      <c r="R16" s="47" t="n"/>
      <c r="S16" s="47" t="n"/>
      <c r="T16" s="47" t="n"/>
      <c r="U16" s="47" t="n"/>
      <c r="V16" s="47" t="n"/>
    </row>
    <row r="17">
      <c r="A17" s="47" t="inlineStr">
        <is>
          <t>SW-13</t>
        </is>
      </c>
      <c r="B17" s="47" t="n">
        <v>13</v>
      </c>
      <c r="C17" s="47" t="inlineStr">
        <is>
          <t>이노로보틱스</t>
        </is>
      </c>
      <c r="D17" s="48" t="inlineStr">
        <is>
          <t>검사 제외 대상 추적</t>
        </is>
      </c>
      <c r="E17" s="48" t="inlineStr">
        <is>
          <t>검사 대상에서 빠진 영역을 사후에 특정할 수 없음</t>
        </is>
      </c>
      <c r="F17" s="48" t="inlineStr">
        <is>
          <t>미검사 구간이 남아도 확인할 방법이 없어 검사 누락이 그대로 인수됨</t>
        </is>
      </c>
      <c r="G17" s="47" t="n">
        <v>8</v>
      </c>
      <c r="H17" s="48" t="inlineStr">
        <is>
          <t>제외 사유와 대상 목록을 조회할 수단이 없음</t>
        </is>
      </c>
      <c r="I17" s="47" t="n">
        <v>6</v>
      </c>
      <c r="J17" s="48" t="inlineStr">
        <is>
          <t>없음</t>
        </is>
      </c>
      <c r="K17" s="48" t="inlineStr">
        <is>
          <t>없음 — 제외 수치만 있고 내역이 없어 검출 수단 자체가 부재</t>
        </is>
      </c>
      <c r="L17" s="47" t="n">
        <v>8</v>
      </c>
      <c r="M17" s="47">
        <f>G17*I17*L17</f>
        <v/>
      </c>
      <c r="N17" s="49">
        <f>IF(G17&gt;=9,IF(I17&gt;=6,"H",IF(I17&gt;=4,IF(L17&gt;=2,"H","M"),IF(I17&gt;=2,IF(L17&gt;=7,"H",IF(L17&gt;=2,"M","L")),"L"))),IF(G17&gt;=7,IF(I17&gt;=8,IF(L17&gt;=2,"H","M"),IF(I17&gt;=6,IF(L17&gt;=5,"H","M"),IF(I17&gt;=4,IF(L17&gt;=7,"H",IF(L17&gt;=2,"M","L")),IF(I17&gt;=2,IF(L17&gt;=5,"M","L"),"L")))),IF(G17&gt;=4,IF(I17&gt;=8,IF(L17&gt;=7,"H",IF(L17&gt;=2,"M","L")),IF(I17&gt;=6,IF(L17&gt;=5,"M","L"),IF(I17&gt;=4,IF(L17&gt;=7,"M","L"),"L"))),IF(G17&gt;=2,IF(I17&gt;=8,IF(L17&gt;=7,"M","L"),"L"),"L"))))</f>
        <v/>
      </c>
      <c r="O17" s="48" t="inlineStr">
        <is>
          <t>특정 층 변환을 제거한 상태로 Run 시작해 제외 목록·사유 조회. 제외 대상 조회 API 신설.</t>
        </is>
      </c>
      <c r="P17" s="48" t="inlineStr">
        <is>
          <t>excludedTasks 수가 그 층 TASK 수와 일치. 제외 사유·대상 목록을 API 또는 화면에서 확인 가능.</t>
        </is>
      </c>
      <c r="Q17" s="47" t="inlineStr">
        <is>
          <t>즉시</t>
        </is>
      </c>
      <c r="R17" s="47" t="n"/>
      <c r="S17" s="47" t="n"/>
      <c r="T17" s="47" t="n"/>
      <c r="U17" s="47" t="n"/>
      <c r="V17" s="47" t="n"/>
    </row>
    <row r="18">
      <c r="A18" s="47" t="inlineStr">
        <is>
          <t>SW-14</t>
        </is>
      </c>
      <c r="B18" s="47" t="n">
        <v>14</v>
      </c>
      <c r="C18" s="47" t="inlineStr">
        <is>
          <t>이노로보틱스</t>
        </is>
      </c>
      <c r="D18" s="48" t="inlineStr">
        <is>
          <t>스킵 결과 이력 기록</t>
        </is>
      </c>
      <c r="E18" s="48" t="inlineStr">
        <is>
          <t>재시도 초과로 스킵된 작업이 결과 이력에 남지 않음</t>
        </is>
      </c>
      <c r="F18" s="48" t="inlineStr">
        <is>
          <t>결과 상세에서 미검사 구간을 특정할 수 없음. 인수 조건 위반 소지</t>
        </is>
      </c>
      <c r="G18" s="47" t="n">
        <v>7</v>
      </c>
      <c r="H18" s="48" t="inlineStr">
        <is>
          <t>이력 기록 경로에 스킵 상태가 누락되어 있음</t>
        </is>
      </c>
      <c r="I18" s="47" t="n">
        <v>7</v>
      </c>
      <c r="J18" s="48" t="inlineStr">
        <is>
          <t>없음</t>
        </is>
      </c>
      <c r="K18" s="48" t="inlineStr">
        <is>
          <t>결과 조회를 대조하는 절차가 없음</t>
        </is>
      </c>
      <c r="L18" s="47" t="n">
        <v>4</v>
      </c>
      <c r="M18" s="47">
        <f>G18*I18*L18</f>
        <v/>
      </c>
      <c r="N18" s="49">
        <f>IF(G18&gt;=9,IF(I18&gt;=6,"H",IF(I18&gt;=4,IF(L18&gt;=2,"H","M"),IF(I18&gt;=2,IF(L18&gt;=7,"H",IF(L18&gt;=2,"M","L")),"L"))),IF(G18&gt;=7,IF(I18&gt;=8,IF(L18&gt;=2,"H","M"),IF(I18&gt;=6,IF(L18&gt;=5,"H","M"),IF(I18&gt;=4,IF(L18&gt;=7,"H",IF(L18&gt;=2,"M","L")),IF(I18&gt;=2,IF(L18&gt;=5,"M","L"),"L")))),IF(G18&gt;=4,IF(I18&gt;=8,IF(L18&gt;=7,"H",IF(L18&gt;=2,"M","L")),IF(I18&gt;=6,IF(L18&gt;=5,"M","L"),IF(I18&gt;=4,IF(L18&gt;=7,"M","L"),"L"))),IF(G18&gt;=2,IF(I18&gt;=8,IF(L18&gt;=7,"M","L"),"L"),"L"))))</f>
        <v/>
      </c>
      <c r="O18" s="48" t="inlineStr">
        <is>
          <t>재시도 초과 케이스 실행 후 결과 상세 API 조회.</t>
        </is>
      </c>
      <c r="P18" s="48" t="inlineStr">
        <is>
          <t>스킵된 TASK가 결과 목록에 상태와 사유를 갖고 존재.</t>
        </is>
      </c>
      <c r="Q18" s="47" t="inlineStr">
        <is>
          <t>즉시</t>
        </is>
      </c>
      <c r="R18" s="47" t="n"/>
      <c r="S18" s="47" t="n"/>
      <c r="T18" s="47" t="n"/>
      <c r="U18" s="47" t="n"/>
      <c r="V18" s="47" t="n"/>
    </row>
    <row r="19">
      <c r="A19" s="47" t="inlineStr">
        <is>
          <t>SW-15</t>
        </is>
      </c>
      <c r="B19" s="47" t="n">
        <v>15</v>
      </c>
      <c r="C19" s="47" t="inlineStr">
        <is>
          <t>이노로보틱스</t>
        </is>
      </c>
      <c r="D19" s="48" t="inlineStr">
        <is>
          <t>작업 발행 payload 계약</t>
        </is>
      </c>
      <c r="E19" s="48" t="inlineStr">
        <is>
          <t>스키마 검증은 통과하나 로봇 측 해석이 달라 파라미터가 다른 의미로 쓰임</t>
        </is>
      </c>
      <c r="F19" s="48" t="inlineStr">
        <is>
          <t>잘못된 위치·조건으로 검사가 수행되고 성공으로 회신됨</t>
        </is>
      </c>
      <c r="G19" s="47" t="n">
        <v>9</v>
      </c>
      <c r="H19" s="48" t="inlineStr">
        <is>
          <t>golden sample 상호 검증을 하지 않아 의미 수준의 일치가 확인되지 않음</t>
        </is>
      </c>
      <c r="I19" s="47" t="n">
        <v>5</v>
      </c>
      <c r="J19" s="48" t="inlineStr">
        <is>
          <t>발행 직전 param_schema 검증</t>
        </is>
      </c>
      <c r="K19" s="48" t="inlineStr">
        <is>
          <t>발행 전 스키마 검증은 형식만 확인. 의미 불일치는 잡지 못함</t>
        </is>
      </c>
      <c r="L19" s="47" t="n">
        <v>8</v>
      </c>
      <c r="M19" s="47">
        <f>G19*I19*L19</f>
        <v/>
      </c>
      <c r="N19" s="49">
        <f>IF(G19&gt;=9,IF(I19&gt;=6,"H",IF(I19&gt;=4,IF(L19&gt;=2,"H","M"),IF(I19&gt;=2,IF(L19&gt;=7,"H",IF(L19&gt;=2,"M","L")),"L"))),IF(G19&gt;=7,IF(I19&gt;=8,IF(L19&gt;=2,"H","M"),IF(I19&gt;=6,IF(L19&gt;=5,"H","M"),IF(I19&gt;=4,IF(L19&gt;=7,"H",IF(L19&gt;=2,"M","L")),IF(I19&gt;=2,IF(L19&gt;=5,"M","L"),"L")))),IF(G19&gt;=4,IF(I19&gt;=8,IF(L19&gt;=7,"H",IF(L19&gt;=2,"M","L")),IF(I19&gt;=6,IF(L19&gt;=5,"M","L"),IF(I19&gt;=4,IF(L19&gt;=7,"M","L"),"L"))),IF(G19&gt;=2,IF(I19&gt;=8,IF(L19&gt;=7,"M","L"),"L"),"L"))))</f>
        <v/>
      </c>
      <c r="O19" s="48" t="inlineStr">
        <is>
          <t>로봇 담당과 golden payload 샘플을 교환해 양측 파서로 상호 검증.</t>
        </is>
      </c>
      <c r="P19" s="48" t="inlineStr">
        <is>
          <t>동일 샘플을 양측이 오류 없이 파싱하고 각 필드 의미 해석이 문서와 일치.</t>
        </is>
      </c>
      <c r="Q19" s="47" t="inlineStr">
        <is>
          <t>Pre-POC 진행시</t>
        </is>
      </c>
      <c r="R19" s="47" t="n"/>
      <c r="S19" s="47" t="n"/>
      <c r="T19" s="47" t="n"/>
      <c r="U19" s="47" t="n"/>
      <c r="V19" s="47" t="n"/>
    </row>
    <row r="20">
      <c r="A20" s="47" t="inlineStr">
        <is>
          <t>SW-16</t>
        </is>
      </c>
      <c r="B20" s="47" t="n">
        <v>16</v>
      </c>
      <c r="C20" s="47" t="inlineStr">
        <is>
          <t>이노로보틱스</t>
        </is>
      </c>
      <c r="D20" s="48" t="inlineStr">
        <is>
          <t>Order 재발행·중복 처리</t>
        </is>
      </c>
      <c r="E20" s="48" t="inlineStr">
        <is>
          <t>재접속 시 동일 Order가 재발행되어 같은 작업이 두 번 실행됨</t>
        </is>
      </c>
      <c r="F20" s="48" t="inlineStr">
        <is>
          <t>중복 검사와 중복 집계로 진행률이 왜곡</t>
        </is>
      </c>
      <c r="G20" s="47" t="n">
        <v>6</v>
      </c>
      <c r="H20" s="48" t="inlineStr">
        <is>
          <t>orderId·orderUpdateId 처리가 상호 검증되지 않음</t>
        </is>
      </c>
      <c r="I20" s="47" t="n">
        <v>5</v>
      </c>
      <c r="J20" s="48" t="inlineStr">
        <is>
          <t>orderId 발급 규약</t>
        </is>
      </c>
      <c r="K20" s="48" t="inlineStr">
        <is>
          <t>재발행 시나리오 시험이 없음</t>
        </is>
      </c>
      <c r="L20" s="47" t="n">
        <v>6</v>
      </c>
      <c r="M20" s="47">
        <f>G20*I20*L20</f>
        <v/>
      </c>
      <c r="N20" s="49">
        <f>IF(G20&gt;=9,IF(I20&gt;=6,"H",IF(I20&gt;=4,IF(L20&gt;=2,"H","M"),IF(I20&gt;=2,IF(L20&gt;=7,"H",IF(L20&gt;=2,"M","L")),"L"))),IF(G20&gt;=7,IF(I20&gt;=8,IF(L20&gt;=2,"H","M"),IF(I20&gt;=6,IF(L20&gt;=5,"H","M"),IF(I20&gt;=4,IF(L20&gt;=7,"H",IF(L20&gt;=2,"M","L")),IF(I20&gt;=2,IF(L20&gt;=5,"M","L"),"L")))),IF(G20&gt;=4,IF(I20&gt;=8,IF(L20&gt;=7,"H",IF(L20&gt;=2,"M","L")),IF(I20&gt;=6,IF(L20&gt;=5,"M","L"),IF(I20&gt;=4,IF(L20&gt;=7,"M","L"),"L"))),IF(G20&gt;=2,IF(I20&gt;=8,IF(L20&gt;=7,"M","L"),"L"),"L"))))</f>
        <v/>
      </c>
      <c r="O20" s="48" t="inlineStr">
        <is>
          <t>동일 orderId 재발행 / orderUpdateId 증가 / 도착 순서 역전 3종 시험.</t>
        </is>
      </c>
      <c r="P20" s="48" t="inlineStr">
        <is>
          <t>중복 실행 없음. 거부하는 경우 사유가 state로 회신.</t>
        </is>
      </c>
      <c r="Q20" s="47" t="inlineStr">
        <is>
          <t>Pre-POC 진행시</t>
        </is>
      </c>
      <c r="R20" s="47" t="n"/>
      <c r="S20" s="47" t="n"/>
      <c r="T20" s="47" t="n"/>
      <c r="U20" s="47" t="n"/>
      <c r="V20" s="47" t="n"/>
    </row>
    <row r="21">
      <c r="A21" s="47" t="inlineStr">
        <is>
          <t>SW-17</t>
        </is>
      </c>
      <c r="B21" s="47" t="n">
        <v>17</v>
      </c>
      <c r="C21" s="47" t="inlineStr">
        <is>
          <t>이노로보틱스</t>
        </is>
      </c>
      <c r="D21" s="48" t="inlineStr">
        <is>
          <t>대외 REST 응답 계약</t>
        </is>
      </c>
      <c r="E21" s="48" t="inlineStr">
        <is>
          <t>내부 모델 변경이 대외 응답 형태를 바꿔 고객사 파서가 깨짐</t>
        </is>
      </c>
      <c r="F21" s="48" t="inlineStr">
        <is>
          <t>연동 중단. 원인 파악까지 시간이 소요되고 책임 소재가 불분명해짐</t>
        </is>
      </c>
      <c r="G21" s="47" t="n">
        <v>6</v>
      </c>
      <c r="H21" s="48" t="inlineStr">
        <is>
          <t>일부 엔드포인트가 내부 엔티티를 그대로 직렬화하고 계약 시험이 없음</t>
        </is>
      </c>
      <c r="I21" s="47" t="n">
        <v>6</v>
      </c>
      <c r="J21" s="48" t="inlineStr">
        <is>
          <t>사양서 예시 JSON 존재</t>
        </is>
      </c>
      <c r="K21" s="48" t="inlineStr">
        <is>
          <t>사양서 예시와 실제 응답을 자동 대조하지 않음</t>
        </is>
      </c>
      <c r="L21" s="47" t="n">
        <v>6</v>
      </c>
      <c r="M21" s="47">
        <f>G21*I21*L21</f>
        <v/>
      </c>
      <c r="N21" s="49">
        <f>IF(G21&gt;=9,IF(I21&gt;=6,"H",IF(I21&gt;=4,IF(L21&gt;=2,"H","M"),IF(I21&gt;=2,IF(L21&gt;=7,"H",IF(L21&gt;=2,"M","L")),"L"))),IF(G21&gt;=7,IF(I21&gt;=8,IF(L21&gt;=2,"H","M"),IF(I21&gt;=6,IF(L21&gt;=5,"H","M"),IF(I21&gt;=4,IF(L21&gt;=7,"H",IF(L21&gt;=2,"M","L")),IF(I21&gt;=2,IF(L21&gt;=5,"M","L"),"L")))),IF(G21&gt;=4,IF(I21&gt;=8,IF(L21&gt;=7,"H",IF(L21&gt;=2,"M","L")),IF(I21&gt;=6,IF(L21&gt;=5,"M","L"),IF(I21&gt;=4,IF(L21&gt;=7,"M","L"),"L"))),IF(G21&gt;=2,IF(I21&gt;=8,IF(L21&gt;=7,"M","L"),"L"),"L"))))</f>
        <v/>
      </c>
      <c r="O21" s="48" t="inlineStr">
        <is>
          <t>사양서 예시 JSON과 실제 응답을 필드 단위로 자동 대조하는 계약 시험을 빌드에 연결.</t>
        </is>
      </c>
      <c r="P21" s="48" t="inlineStr">
        <is>
          <t>사양서에 없는 필드 미노출, 사양서 필드 전부 존재, 타입 일치.</t>
        </is>
      </c>
      <c r="Q21" s="47" t="inlineStr">
        <is>
          <t>Pre-POC 진행시</t>
        </is>
      </c>
      <c r="R21" s="47" t="n"/>
      <c r="S21" s="47" t="n"/>
      <c r="T21" s="47" t="n"/>
      <c r="U21" s="47" t="n"/>
      <c r="V21" s="47" t="n"/>
    </row>
    <row r="22">
      <c r="A22" s="47" t="inlineStr">
        <is>
          <t>SW-18</t>
        </is>
      </c>
      <c r="B22" s="47" t="n">
        <v>18</v>
      </c>
      <c r="C22" s="47" t="inlineStr">
        <is>
          <t>이노로보틱스</t>
        </is>
      </c>
      <c r="D22" s="48" t="inlineStr">
        <is>
          <t>대외 API 오류 응답</t>
        </is>
      </c>
      <c r="E22" s="48" t="inlineStr">
        <is>
          <t>오류 응답이 사양과 다르거나 내부 경로·스택이 노출됨</t>
        </is>
      </c>
      <c r="F22" s="48" t="inlineStr">
        <is>
          <t>고객사 예외 처리가 오작동하고 보안 검토에서 지적될 수 있음</t>
        </is>
      </c>
      <c r="G22" s="47" t="n">
        <v>4</v>
      </c>
      <c r="H22" s="48" t="inlineStr">
        <is>
          <t>엔드포인트별 상태코드 매핑이 확인되지 않음</t>
        </is>
      </c>
      <c r="I22" s="47" t="n">
        <v>5</v>
      </c>
      <c r="J22" s="48" t="inlineStr">
        <is>
          <t>전역 예외 핸들러</t>
        </is>
      </c>
      <c r="K22" s="48" t="inlineStr">
        <is>
          <t>오류 케이스 시험이 없음</t>
        </is>
      </c>
      <c r="L22" s="47" t="n">
        <v>4</v>
      </c>
      <c r="M22" s="47">
        <f>G22*I22*L22</f>
        <v/>
      </c>
      <c r="N22" s="49">
        <f>IF(G22&gt;=9,IF(I22&gt;=6,"H",IF(I22&gt;=4,IF(L22&gt;=2,"H","M"),IF(I22&gt;=2,IF(L22&gt;=7,"H",IF(L22&gt;=2,"M","L")),"L"))),IF(G22&gt;=7,IF(I22&gt;=8,IF(L22&gt;=2,"H","M"),IF(I22&gt;=6,IF(L22&gt;=5,"H","M"),IF(I22&gt;=4,IF(L22&gt;=7,"H",IF(L22&gt;=2,"M","L")),IF(I22&gt;=2,IF(L22&gt;=5,"M","L"),"L")))),IF(G22&gt;=4,IF(I22&gt;=8,IF(L22&gt;=7,"H",IF(L22&gt;=2,"M","L")),IF(I22&gt;=6,IF(L22&gt;=5,"M","L"),IF(I22&gt;=4,IF(L22&gt;=7,"M","L"),"L"))),IF(G22&gt;=2,IF(I22&gt;=8,IF(L22&gt;=7,"M","L"),"L"),"L"))))</f>
        <v/>
      </c>
      <c r="O22" s="48" t="inlineStr">
        <is>
          <t>존재하지 않는 runId / 형식 오류 / DB 중단 상태로 각 엔드포인트 호출.</t>
        </is>
      </c>
      <c r="P22" s="48" t="inlineStr">
        <is>
          <t>사양서 표대로 상태코드 반환. 본문에 내부 경로·스택·SQL 미노출.</t>
        </is>
      </c>
      <c r="Q22" s="47" t="inlineStr">
        <is>
          <t>POC 진행시</t>
        </is>
      </c>
      <c r="R22" s="47" t="n"/>
      <c r="S22" s="47" t="n"/>
      <c r="T22" s="47" t="n"/>
      <c r="U22" s="47" t="n"/>
      <c r="V22" s="47" t="n"/>
    </row>
    <row r="23">
      <c r="A23" s="47" t="inlineStr">
        <is>
          <t>SW-19</t>
        </is>
      </c>
      <c r="B23" s="47" t="n">
        <v>19</v>
      </c>
      <c r="C23" s="47" t="inlineStr">
        <is>
          <t>이노로보틱스</t>
        </is>
      </c>
      <c r="D23" s="48" t="inlineStr">
        <is>
          <t>두절 구간 진행분 동기화</t>
        </is>
      </c>
      <c r="E23" s="48" t="inlineStr">
        <is>
          <t>두절 중 로봇이 수행한 검사가 재접속 후에도 반영되지 않음</t>
        </is>
      </c>
      <c r="F23" s="48" t="inlineStr">
        <is>
          <t>진행률과 실제 수행량이 영구 불일치하고 완료 판정이 불가능해짐</t>
        </is>
      </c>
      <c r="G23" s="47" t="n">
        <v>8</v>
      </c>
      <c r="H23" s="48" t="inlineStr">
        <is>
          <t>두절 구간 결과의 재전송 방식이 결정되지 않음</t>
        </is>
      </c>
      <c r="I23" s="47" t="n">
        <v>7</v>
      </c>
      <c r="J23" s="48" t="inlineStr">
        <is>
          <t>두절 내성 설계(로봇이 두절 중에도 검사 계속)</t>
        </is>
      </c>
      <c r="K23" s="48" t="inlineStr">
        <is>
          <t>없음 — 두절 시험 미실시이며 진행률이 그럴듯한 값으로 남아 불일치가 드러나지 않음</t>
        </is>
      </c>
      <c r="L23" s="47" t="n">
        <v>8</v>
      </c>
      <c r="M23" s="47">
        <f>G23*I23*L23</f>
        <v/>
      </c>
      <c r="N23" s="49">
        <f>IF(G23&gt;=9,IF(I23&gt;=6,"H",IF(I23&gt;=4,IF(L23&gt;=2,"H","M"),IF(I23&gt;=2,IF(L23&gt;=7,"H",IF(L23&gt;=2,"M","L")),"L"))),IF(G23&gt;=7,IF(I23&gt;=8,IF(L23&gt;=2,"H","M"),IF(I23&gt;=6,IF(L23&gt;=5,"H","M"),IF(I23&gt;=4,IF(L23&gt;=7,"H",IF(L23&gt;=2,"M","L")),IF(I23&gt;=2,IF(L23&gt;=5,"M","L"),"L")))),IF(G23&gt;=4,IF(I23&gt;=8,IF(L23&gt;=7,"H",IF(L23&gt;=2,"M","L")),IF(I23&gt;=6,IF(L23&gt;=5,"M","L"),IF(I23&gt;=4,IF(L23&gt;=7,"M","L"),"L"))),IF(G23&gt;=2,IF(I23&gt;=8,IF(L23&gt;=7,"M","L"),"L"),"L"))))</f>
        <v/>
      </c>
      <c r="O23" s="48" t="inlineStr">
        <is>
          <t>메시지 경로를 임의 시간 차단하고 그 사이 다수 작업을 완료 처리한 뒤 복구. 재전송 방식을 먼저 결정.</t>
        </is>
      </c>
      <c r="P23" s="48" t="inlineStr">
        <is>
          <t>재접속 후 진행률이 로봇 실제 수행량과 일치. 완료분 유실·중복 계상 없음.</t>
        </is>
      </c>
      <c r="Q23" s="47" t="inlineStr">
        <is>
          <t>즉시</t>
        </is>
      </c>
      <c r="R23" s="47" t="n"/>
      <c r="S23" s="47" t="n"/>
      <c r="T23" s="47" t="n"/>
      <c r="U23" s="47" t="n"/>
      <c r="V23" s="47" t="n"/>
    </row>
    <row r="24">
      <c r="A24" s="47" t="inlineStr">
        <is>
          <t>SW-20</t>
        </is>
      </c>
      <c r="B24" s="47" t="n">
        <v>20</v>
      </c>
      <c r="C24" s="47" t="inlineStr">
        <is>
          <t>이노로보틱스</t>
        </is>
      </c>
      <c r="D24" s="48" t="inlineStr">
        <is>
          <t>관제 서버 재기동 복구</t>
        </is>
      </c>
      <c r="E24" s="48" t="inlineStr">
        <is>
          <t>재기동 후 Run·미션·큐 상태가 복원되지 않거나 작업이 중복 발행됨</t>
        </is>
      </c>
      <c r="F24" s="48" t="inlineStr">
        <is>
          <t>진행 중이던 검사가 유실되거나 재실행</t>
        </is>
      </c>
      <c r="G24" s="47" t="n">
        <v>7</v>
      </c>
      <c r="H24" s="48" t="inlineStr">
        <is>
          <t>무상태 설계 전제가 실제로 실증된 적 없음</t>
        </is>
      </c>
      <c r="I24" s="47" t="n">
        <v>5</v>
      </c>
      <c r="J24" s="48" t="inlineStr">
        <is>
          <t>무상태 앱 · 로봇을 truth로 삼는 설계</t>
        </is>
      </c>
      <c r="K24" s="48" t="inlineStr">
        <is>
          <t>강제 종료·재기동 시험이 없음</t>
        </is>
      </c>
      <c r="L24" s="47" t="n">
        <v>5</v>
      </c>
      <c r="M24" s="47">
        <f>G24*I24*L24</f>
        <v/>
      </c>
      <c r="N24" s="49">
        <f>IF(G24&gt;=9,IF(I24&gt;=6,"H",IF(I24&gt;=4,IF(L24&gt;=2,"H","M"),IF(I24&gt;=2,IF(L24&gt;=7,"H",IF(L24&gt;=2,"M","L")),"L"))),IF(G24&gt;=7,IF(I24&gt;=8,IF(L24&gt;=2,"H","M"),IF(I24&gt;=6,IF(L24&gt;=5,"H","M"),IF(I24&gt;=4,IF(L24&gt;=7,"H",IF(L24&gt;=2,"M","L")),IF(I24&gt;=2,IF(L24&gt;=5,"M","L"),"L")))),IF(G24&gt;=4,IF(I24&gt;=8,IF(L24&gt;=7,"H",IF(L24&gt;=2,"M","L")),IF(I24&gt;=6,IF(L24&gt;=5,"M","L"),IF(I24&gt;=4,IF(L24&gt;=7,"M","L"),"L"))),IF(G24&gt;=2,IF(I24&gt;=8,IF(L24&gt;=7,"M","L"),"L"),"L"))))</f>
        <v/>
      </c>
      <c r="O24" s="48" t="inlineStr">
        <is>
          <t>Run 중간에 앱 프로세스를 강제 종료한 뒤 재기동.</t>
        </is>
      </c>
      <c r="P24" s="48" t="inlineStr">
        <is>
          <t>Run·미션·큐 상태가 재기동 전과 동일하게 복원. 중복 발행 없음. 진행률 되돌아감 없음.</t>
        </is>
      </c>
      <c r="Q24" s="47" t="inlineStr">
        <is>
          <t>Pre-POC 진행시</t>
        </is>
      </c>
      <c r="R24" s="47" t="n"/>
      <c r="S24" s="47" t="n"/>
      <c r="T24" s="47" t="n"/>
      <c r="U24" s="47" t="n"/>
      <c r="V24" s="47" t="n"/>
    </row>
    <row r="25">
      <c r="A25" s="47" t="inlineStr">
        <is>
          <t>SW-21</t>
        </is>
      </c>
      <c r="B25" s="47" t="n">
        <v>21</v>
      </c>
      <c r="C25" s="47" t="inlineStr">
        <is>
          <t>이노로보틱스</t>
        </is>
      </c>
      <c r="D25" s="48" t="inlineStr">
        <is>
          <t>DB·브로커 순단 대응</t>
        </is>
      </c>
      <c r="E25" s="48" t="inlineStr">
        <is>
          <t>순단 구간의 이벤트가 유실되고 앱이 그 사실을 인지하지 못함</t>
        </is>
      </c>
      <c r="F25" s="48" t="inlineStr">
        <is>
          <t>완료 보고가 누락되어 진행률이 정체되고 원인을 알 수 없음</t>
        </is>
      </c>
      <c r="G25" s="47" t="n">
        <v>6</v>
      </c>
      <c r="H25" s="48" t="inlineStr">
        <is>
          <t>재연결과 유실 처리가 검증되지 않음</t>
        </is>
      </c>
      <c r="I25" s="47" t="n">
        <v>5</v>
      </c>
      <c r="J25" s="48" t="inlineStr">
        <is>
          <t>없음</t>
        </is>
      </c>
      <c r="K25" s="48" t="inlineStr">
        <is>
          <t>없음 — 유실은 조용히 일어나고 알람으로도 남지 않음</t>
        </is>
      </c>
      <c r="L25" s="47" t="n">
        <v>7</v>
      </c>
      <c r="M25" s="47">
        <f>G25*I25*L25</f>
        <v/>
      </c>
      <c r="N25" s="49">
        <f>IF(G25&gt;=9,IF(I25&gt;=6,"H",IF(I25&gt;=4,IF(L25&gt;=2,"H","M"),IF(I25&gt;=2,IF(L25&gt;=7,"H",IF(L25&gt;=2,"M","L")),"L"))),IF(G25&gt;=7,IF(I25&gt;=8,IF(L25&gt;=2,"H","M"),IF(I25&gt;=6,IF(L25&gt;=5,"H","M"),IF(I25&gt;=4,IF(L25&gt;=7,"H",IF(L25&gt;=2,"M","L")),IF(I25&gt;=2,IF(L25&gt;=5,"M","L"),"L")))),IF(G25&gt;=4,IF(I25&gt;=8,IF(L25&gt;=7,"H",IF(L25&gt;=2,"M","L")),IF(I25&gt;=6,IF(L25&gt;=5,"M","L"),IF(I25&gt;=4,IF(L25&gt;=7,"M","L"),"L"))),IF(G25&gt;=2,IF(I25&gt;=8,IF(L25&gt;=7,"M","L"),"L"),"L"))))</f>
        <v/>
      </c>
      <c r="O25" s="48" t="inlineStr">
        <is>
          <t>Run을 유지한 채 DB와 브로커를 각각 재기동.</t>
        </is>
      </c>
      <c r="P25" s="48" t="inlineStr">
        <is>
          <t>자동 재연결 성공. 순단 구간 이벤트가 유실되지 않거나, 유실 사실이 알람으로 남음.</t>
        </is>
      </c>
      <c r="Q25" s="47" t="inlineStr">
        <is>
          <t>Pre-POC 진행시</t>
        </is>
      </c>
      <c r="R25" s="47" t="n"/>
      <c r="S25" s="47" t="n"/>
      <c r="T25" s="47" t="n"/>
      <c r="U25" s="47" t="n"/>
      <c r="V25" s="47" t="n"/>
    </row>
    <row r="26">
      <c r="A26" s="47" t="inlineStr">
        <is>
          <t>SW-22</t>
        </is>
      </c>
      <c r="B26" s="47" t="n">
        <v>22</v>
      </c>
      <c r="C26" s="47" t="inlineStr">
        <is>
          <t>이노로보틱스</t>
        </is>
      </c>
      <c r="D26" s="48" t="inlineStr">
        <is>
          <t>메시징 QoS·세션 정책</t>
        </is>
      </c>
      <c r="E26" s="48" t="inlineStr">
        <is>
          <t>설정이 두절 구간 메시지를 보존하지 못하거나 중복 전달함</t>
        </is>
      </c>
      <c r="F26" s="48" t="inlineStr">
        <is>
          <t>state 유실 또는 중복 집계. SW-19와 겹쳐 증폭됨</t>
        </is>
      </c>
      <c r="G26" s="47" t="n">
        <v>7</v>
      </c>
      <c r="H26" s="48" t="inlineStr">
        <is>
          <t>QoS 수준과 세션 유지 정책이 미결정 상태</t>
        </is>
      </c>
      <c r="I26" s="47" t="n">
        <v>6</v>
      </c>
      <c r="J26" s="48" t="inlineStr">
        <is>
          <t>없음 — 정책 미결정</t>
        </is>
      </c>
      <c r="K26" s="48" t="inlineStr">
        <is>
          <t>조합별 두절 시험이 없음</t>
        </is>
      </c>
      <c r="L26" s="47" t="n">
        <v>6</v>
      </c>
      <c r="M26" s="47">
        <f>G26*I26*L26</f>
        <v/>
      </c>
      <c r="N26" s="49">
        <f>IF(G26&gt;=9,IF(I26&gt;=6,"H",IF(I26&gt;=4,IF(L26&gt;=2,"H","M"),IF(I26&gt;=2,IF(L26&gt;=7,"H",IF(L26&gt;=2,"M","L")),"L"))),IF(G26&gt;=7,IF(I26&gt;=8,IF(L26&gt;=2,"H","M"),IF(I26&gt;=6,IF(L26&gt;=5,"H","M"),IF(I26&gt;=4,IF(L26&gt;=7,"H",IF(L26&gt;=2,"M","L")),IF(I26&gt;=2,IF(L26&gt;=5,"M","L"),"L")))),IF(G26&gt;=4,IF(I26&gt;=8,IF(L26&gt;=7,"H",IF(L26&gt;=2,"M","L")),IF(I26&gt;=6,IF(L26&gt;=5,"M","L"),IF(I26&gt;=4,IF(L26&gt;=7,"M","L"),"L"))),IF(G26&gt;=2,IF(I26&gt;=8,IF(L26&gt;=7,"M","L"),"L"),"L"))))</f>
        <v/>
      </c>
      <c r="O26" s="48" t="inlineStr">
        <is>
          <t>QoS 0/1과 세션 유지 여부 조합으로 두절 시험을 반복해 손실·중복 계수.</t>
        </is>
      </c>
      <c r="P26" s="48" t="inlineStr">
        <is>
          <t>선정 조합에서 state 유실 없음. 중복 수신 시 멱등 처리되어 집계가 어긋나지 않음.</t>
        </is>
      </c>
      <c r="Q26" s="47" t="inlineStr">
        <is>
          <t>즉시</t>
        </is>
      </c>
      <c r="R26" s="47" t="n"/>
      <c r="S26" s="47" t="n"/>
      <c r="T26" s="47" t="n"/>
      <c r="U26" s="47" t="n"/>
      <c r="V26" s="47" t="n"/>
    </row>
    <row r="27">
      <c r="A27" s="47" t="inlineStr">
        <is>
          <t>SW-23</t>
        </is>
      </c>
      <c r="B27" s="47" t="n">
        <v>23</v>
      </c>
      <c r="C27" s="47" t="inlineStr">
        <is>
          <t>이노로보틱스</t>
        </is>
      </c>
      <c r="D27" s="48" t="inlineStr">
        <is>
          <t>프로젝트 파일 왕복</t>
        </is>
      </c>
      <c r="E27" s="48" t="inlineStr">
        <is>
          <t>저장·열기 왕복에서 영역 코너·작업 좌표가 유실되거나 변형됨</t>
        </is>
      </c>
      <c r="F27" s="48" t="inlineStr">
        <is>
          <t>계획 데이터 손실과 재입력 공수</t>
        </is>
      </c>
      <c r="G27" s="47" t="n">
        <v>6</v>
      </c>
      <c r="H27" s="48" t="inlineStr">
        <is>
          <t>왕복 전수 대조를 한 적 없음</t>
        </is>
      </c>
      <c r="I27" s="47" t="n">
        <v>4</v>
      </c>
      <c r="J27" s="48" t="inlineStr">
        <is>
          <t>매직·버전 바이트 포맷 검사</t>
        </is>
      </c>
      <c r="K27" s="48" t="inlineStr">
        <is>
          <t>열기 실패는 예외로 드러나지만 값 변형은 조용히 지나감</t>
        </is>
      </c>
      <c r="L27" s="47" t="n">
        <v>6</v>
      </c>
      <c r="M27" s="47">
        <f>G27*I27*L27</f>
        <v/>
      </c>
      <c r="N27" s="49">
        <f>IF(G27&gt;=9,IF(I27&gt;=6,"H",IF(I27&gt;=4,IF(L27&gt;=2,"H","M"),IF(I27&gt;=2,IF(L27&gt;=7,"H",IF(L27&gt;=2,"M","L")),"L"))),IF(G27&gt;=7,IF(I27&gt;=8,IF(L27&gt;=2,"H","M"),IF(I27&gt;=6,IF(L27&gt;=5,"H","M"),IF(I27&gt;=4,IF(L27&gt;=7,"H",IF(L27&gt;=2,"M","L")),IF(I27&gt;=2,IF(L27&gt;=5,"M","L"),"L")))),IF(G27&gt;=4,IF(I27&gt;=8,IF(L27&gt;=7,"H",IF(L27&gt;=2,"M","L")),IF(I27&gt;=6,IF(L27&gt;=5,"M","L"),IF(I27&gt;=4,IF(L27&gt;=7,"M","L"),"L"))),IF(G27&gt;=2,IF(I27&gt;=8,IF(L27&gt;=7,"M","L"),"L"),"L"))))</f>
        <v/>
      </c>
      <c r="O27" s="48" t="inlineStr">
        <is>
          <t>전 면·전 층 등록 상태로 저장 → 빈 DB에 열기 → 전 필드 대조. 구버전 포맷도 함께 시험.</t>
        </is>
      </c>
      <c r="P27" s="48" t="inlineStr">
        <is>
          <t>전 필드 일치. 구 포맷은 폴백으로 열리거나 명확히 구분되는 사유로 거부.</t>
        </is>
      </c>
      <c r="Q27" s="47" t="inlineStr">
        <is>
          <t>POC 진행시</t>
        </is>
      </c>
      <c r="R27" s="47" t="n"/>
      <c r="S27" s="47" t="n"/>
      <c r="T27" s="47" t="n"/>
      <c r="U27" s="47" t="n"/>
      <c r="V27" s="47" t="n"/>
    </row>
    <row r="28">
      <c r="A28" s="47" t="inlineStr">
        <is>
          <t>SW-24</t>
        </is>
      </c>
      <c r="B28" s="47" t="n">
        <v>24</v>
      </c>
      <c r="C28" s="47" t="inlineStr">
        <is>
          <t>이노로보틱스</t>
        </is>
      </c>
      <c r="D28" s="48" t="inlineStr">
        <is>
          <t>DB 마이그레이션 절차</t>
        </is>
      </c>
      <c r="E28" s="48" t="inlineStr">
        <is>
          <t>현장 DB 스키마가 앱과 불일치한 상태로 기동됨</t>
        </is>
      </c>
      <c r="F28" s="48" t="inlineStr">
        <is>
          <t>등록·조회가 500으로 실패하고 현장에서 원인 파악이 지연됨 (전례 있음)</t>
        </is>
      </c>
      <c r="G28" s="47" t="n">
        <v>6</v>
      </c>
      <c r="H28" s="48" t="inlineStr">
        <is>
          <t>절차서가 없고 앱이 자동 마이그레이션을 하지 않음</t>
        </is>
      </c>
      <c r="I28" s="47" t="n">
        <v>7</v>
      </c>
      <c r="J28" s="48" t="inlineStr">
        <is>
          <t>마이그레이션 SQL 파일 형상 관리</t>
        </is>
      </c>
      <c r="K28" s="48" t="inlineStr">
        <is>
          <t>기동 시 스키마 버전을 검사하지 않음</t>
        </is>
      </c>
      <c r="L28" s="47" t="n">
        <v>4</v>
      </c>
      <c r="M28" s="47">
        <f>G28*I28*L28</f>
        <v/>
      </c>
      <c r="N28" s="49">
        <f>IF(G28&gt;=9,IF(I28&gt;=6,"H",IF(I28&gt;=4,IF(L28&gt;=2,"H","M"),IF(I28&gt;=2,IF(L28&gt;=7,"H",IF(L28&gt;=2,"M","L")),"L"))),IF(G28&gt;=7,IF(I28&gt;=8,IF(L28&gt;=2,"H","M"),IF(I28&gt;=6,IF(L28&gt;=5,"H","M"),IF(I28&gt;=4,IF(L28&gt;=7,"H",IF(L28&gt;=2,"M","L")),IF(I28&gt;=2,IF(L28&gt;=5,"M","L"),"L")))),IF(G28&gt;=4,IF(I28&gt;=8,IF(L28&gt;=7,"H",IF(L28&gt;=2,"M","L")),IF(I28&gt;=6,IF(L28&gt;=5,"M","L"),IF(I28&gt;=4,IF(L28&gt;=7,"M","L"),"L"))),IF(G28&gt;=2,IF(I28&gt;=8,IF(L28&gt;=7,"M","L"),"L"),"L"))))</f>
        <v/>
      </c>
      <c r="O28" s="48" t="inlineStr">
        <is>
          <t>빈 DB에 통합 DDL + 전 마이그레이션을 절차서 순서대로만 적용한 뒤 전 API 스모크 테스트.</t>
        </is>
      </c>
      <c r="P28" s="48" t="inlineStr">
        <is>
          <t>절차서에 적힌 것만 실행해 전 기능 동작. 절차서에 없는 수동 조치 불필요.</t>
        </is>
      </c>
      <c r="Q28" s="47" t="inlineStr">
        <is>
          <t>즉시</t>
        </is>
      </c>
      <c r="R28" s="47" t="n"/>
      <c r="S28" s="47" t="n"/>
      <c r="T28" s="47" t="n"/>
      <c r="U28" s="47" t="n"/>
      <c r="V28" s="47" t="n"/>
    </row>
    <row r="29">
      <c r="A29" s="47" t="inlineStr">
        <is>
          <t>SW-25</t>
        </is>
      </c>
      <c r="B29" s="47" t="n">
        <v>25</v>
      </c>
      <c r="C29" s="47" t="inlineStr">
        <is>
          <t>이노로보틱스</t>
        </is>
      </c>
      <c r="D29" s="48" t="inlineStr">
        <is>
          <t>검사 이력 조회 성능</t>
        </is>
      </c>
      <c r="E29" s="48" t="inlineStr">
        <is>
          <t>이력이 쌓이면서 조회가 느려지거나 타임아웃</t>
        </is>
      </c>
      <c r="F29" s="48" t="inlineStr">
        <is>
          <t>이력 화면 사용 불가. 운영 불편</t>
        </is>
      </c>
      <c r="G29" s="47" t="n">
        <v>4</v>
      </c>
      <c r="H29" s="48" t="inlineStr">
        <is>
          <t>Run당 결과 건수와 누적 보관량이 산정되지 않음</t>
        </is>
      </c>
      <c r="I29" s="47" t="n">
        <v>5</v>
      </c>
      <c r="J29" s="48" t="inlineStr">
        <is>
          <t>없음</t>
        </is>
      </c>
      <c r="K29" s="48" t="inlineStr">
        <is>
          <t>부하 데이터로 측정한 적 없음</t>
        </is>
      </c>
      <c r="L29" s="47" t="n">
        <v>4</v>
      </c>
      <c r="M29" s="47">
        <f>G29*I29*L29</f>
        <v/>
      </c>
      <c r="N29" s="49">
        <f>IF(G29&gt;=9,IF(I29&gt;=6,"H",IF(I29&gt;=4,IF(L29&gt;=2,"H","M"),IF(I29&gt;=2,IF(L29&gt;=7,"H",IF(L29&gt;=2,"M","L")),"L"))),IF(G29&gt;=7,IF(I29&gt;=8,IF(L29&gt;=2,"H","M"),IF(I29&gt;=6,IF(L29&gt;=5,"H","M"),IF(I29&gt;=4,IF(L29&gt;=7,"H",IF(L29&gt;=2,"M","L")),IF(I29&gt;=2,IF(L29&gt;=5,"M","L"),"L")))),IF(G29&gt;=4,IF(I29&gt;=8,IF(L29&gt;=7,"H",IF(L29&gt;=2,"M","L")),IF(I29&gt;=6,IF(L29&gt;=5,"M","L"),IF(I29&gt;=4,IF(L29&gt;=7,"M","L"),"L"))),IF(G29&gt;=2,IF(I29&gt;=8,IF(L29&gt;=7,"M","L"),"L"),"L"))))</f>
        <v/>
      </c>
      <c r="O29" s="48" t="inlineStr">
        <is>
          <t>예상 최대 건수의 10배 데이터를 적재해 이력·결과 조회 응답시간 측정.</t>
        </is>
      </c>
      <c r="P29" s="48" t="inlineStr">
        <is>
          <t>목표 응답시간 내 처리. 초과 시 페이징·인덱스 대책 확보 후 재측정.</t>
        </is>
      </c>
      <c r="Q29" s="47" t="inlineStr">
        <is>
          <t>추후</t>
        </is>
      </c>
      <c r="R29" s="47" t="n"/>
      <c r="S29" s="47" t="n"/>
      <c r="T29" s="47" t="n"/>
      <c r="U29" s="47" t="n"/>
      <c r="V29" s="47" t="n"/>
    </row>
    <row r="30">
      <c r="A30" s="47" t="inlineStr">
        <is>
          <t>SW-26</t>
        </is>
      </c>
      <c r="B30" s="47" t="n">
        <v>26</v>
      </c>
      <c r="C30" s="47" t="inlineStr">
        <is>
          <t>이노로보틱스</t>
        </is>
      </c>
      <c r="D30" s="48" t="inlineStr">
        <is>
          <t>진행률 조회 캐시 (사양서 §3.4)</t>
        </is>
      </c>
      <c r="E30" s="48" t="inlineStr">
        <is>
          <t>사양서에 명시한 서버 측 캐시가 구현되어 있지 않아 고빈도 조회가 그대로 DB 에 도달</t>
        </is>
      </c>
      <c r="F30" s="48" t="inlineStr">
        <is>
          <t>조회 부하가 Run 처리에 영향을 주고, 대외 사양 미이행이 연동시험에서 드러남</t>
        </is>
      </c>
      <c r="G30" s="47" t="n">
        <v>6</v>
      </c>
      <c r="H30" s="48" t="inlineStr">
        <is>
          <t>구현 누락. 사양서 기재와 코드를 대조하는 절차가 없음</t>
        </is>
      </c>
      <c r="I30" s="47" t="n">
        <v>8</v>
      </c>
      <c r="J30" s="48" t="inlineStr">
        <is>
          <t>없음 — 사양서에만 존재</t>
        </is>
      </c>
      <c r="K30" s="48" t="inlineStr">
        <is>
          <t>사양서와 구현을 대조하는 절차가 없음</t>
        </is>
      </c>
      <c r="L30" s="47" t="n">
        <v>6</v>
      </c>
      <c r="M30" s="47">
        <f>G30*I30*L30</f>
        <v/>
      </c>
      <c r="N30" s="49">
        <f>IF(G30&gt;=9,IF(I30&gt;=6,"H",IF(I30&gt;=4,IF(L30&gt;=2,"H","M"),IF(I30&gt;=2,IF(L30&gt;=7,"H",IF(L30&gt;=2,"M","L")),"L"))),IF(G30&gt;=7,IF(I30&gt;=8,IF(L30&gt;=2,"H","M"),IF(I30&gt;=6,IF(L30&gt;=5,"H","M"),IF(I30&gt;=4,IF(L30&gt;=7,"H",IF(L30&gt;=2,"M","L")),IF(I30&gt;=2,IF(L30&gt;=5,"M","L"),"L")))),IF(G30&gt;=4,IF(I30&gt;=8,IF(L30&gt;=7,"H",IF(L30&gt;=2,"M","L")),IF(I30&gt;=6,IF(L30&gt;=5,"M","L"),IF(I30&gt;=4,IF(L30&gt;=7,"M","L"),"L"))),IF(G30&gt;=2,IF(I30&gt;=8,IF(L30&gt;=7,"M","L"),"L"),"L"))))</f>
        <v/>
      </c>
      <c r="O30" s="48" t="inlineStr">
        <is>
          <t>캐시 구현 여부를 먼저 결정(구현 / 사양서 수정). 구현 시 목표 주기 5배 빈도로 부하 측정.</t>
        </is>
      </c>
      <c r="P30" s="48" t="inlineStr">
        <is>
          <t>사양서 기재와 구현이 일치. 응답시간 목표 내 유지, Run 진행 무영향. (목표 응답시간 사전 확정 필요)</t>
        </is>
      </c>
      <c r="Q30" s="47" t="inlineStr">
        <is>
          <t>즉시</t>
        </is>
      </c>
      <c r="R30" s="47" t="n"/>
      <c r="S30" s="47" t="n"/>
      <c r="T30" s="47" t="n"/>
      <c r="U30" s="47" t="n"/>
      <c r="V30" s="47" t="n"/>
    </row>
    <row r="31">
      <c r="A31" s="47" t="inlineStr">
        <is>
          <t>SW-27</t>
        </is>
      </c>
      <c r="B31" s="47" t="n">
        <v>27</v>
      </c>
      <c r="C31" s="47" t="inlineStr">
        <is>
          <t>이노로보틱스</t>
        </is>
      </c>
      <c r="D31" s="48" t="inlineStr">
        <is>
          <t>다중 사용자 동시 모니터링</t>
        </is>
      </c>
      <c r="E31" s="48" t="inlineStr">
        <is>
          <t>동시 접속이 늘면 상태 갱신이 지연되거나 끊김</t>
        </is>
      </c>
      <c r="F31" s="48" t="inlineStr">
        <is>
          <t>다중 사용자 모니터링 요구사항 미충족</t>
        </is>
      </c>
      <c r="G31" s="47" t="n">
        <v>4</v>
      </c>
      <c r="H31" s="48" t="inlineStr">
        <is>
          <t>목표 동시 접속 수와 실측이 없음</t>
        </is>
      </c>
      <c r="I31" s="47" t="n">
        <v>4</v>
      </c>
      <c r="J31" s="48" t="inlineStr">
        <is>
          <t>없음</t>
        </is>
      </c>
      <c r="K31" s="48" t="inlineStr">
        <is>
          <t>측정 수단이 없음</t>
        </is>
      </c>
      <c r="L31" s="47" t="n">
        <v>4</v>
      </c>
      <c r="M31" s="47">
        <f>G31*I31*L31</f>
        <v/>
      </c>
      <c r="N31" s="49">
        <f>IF(G31&gt;=9,IF(I31&gt;=6,"H",IF(I31&gt;=4,IF(L31&gt;=2,"H","M"),IF(I31&gt;=2,IF(L31&gt;=7,"H",IF(L31&gt;=2,"M","L")),"L"))),IF(G31&gt;=7,IF(I31&gt;=8,IF(L31&gt;=2,"H","M"),IF(I31&gt;=6,IF(L31&gt;=5,"H","M"),IF(I31&gt;=4,IF(L31&gt;=7,"H",IF(L31&gt;=2,"M","L")),IF(I31&gt;=2,IF(L31&gt;=5,"M","L"),"L")))),IF(G31&gt;=4,IF(I31&gt;=8,IF(L31&gt;=7,"H",IF(L31&gt;=2,"M","L")),IF(I31&gt;=6,IF(L31&gt;=5,"M","L"),IF(I31&gt;=4,IF(L31&gt;=7,"M","L"),"L"))),IF(G31&gt;=2,IF(I31&gt;=8,IF(L31&gt;=7,"M","L"),"L"),"L"))))</f>
        <v/>
      </c>
      <c r="O31" s="48" t="inlineStr">
        <is>
          <t>목표 동시 접속 수로 실시간 구독을 걸고 상태 갱신 지연 측정.</t>
        </is>
      </c>
      <c r="P31" s="48" t="inlineStr">
        <is>
          <t>목표 접속 수에서 갱신 지연이 운영 가능 범위 내. 접속 증가에 따른 지연 증가가 선형 이하.</t>
        </is>
      </c>
      <c r="Q31" s="47" t="inlineStr">
        <is>
          <t>추후</t>
        </is>
      </c>
      <c r="R31" s="47" t="n"/>
      <c r="S31" s="47" t="n"/>
      <c r="T31" s="47" t="n"/>
      <c r="U31" s="47" t="n"/>
      <c r="V31" s="47" t="n"/>
    </row>
    <row r="32">
      <c r="A32" s="47" t="inlineStr">
        <is>
          <t>SW-28</t>
        </is>
      </c>
      <c r="B32" s="47" t="n">
        <v>28</v>
      </c>
      <c r="C32" s="47" t="inlineStr">
        <is>
          <t>이노로보틱스</t>
        </is>
      </c>
      <c r="D32" s="48" t="inlineStr">
        <is>
          <t>시뮬레이터 검증의 유효성</t>
        </is>
      </c>
      <c r="E32" s="48" t="inlineStr">
        <is>
          <t>시뮬레이터가 모사하지 않는 동작(타이밍·부분 실패·비표준 응답·지연)이 실기에서 처음 드러남</t>
        </is>
      </c>
      <c r="F32" s="48" t="inlineStr">
        <is>
          <t>'시험 통과'의 근거가 무너지고, 현장에서 다수 결함이 한꺼번에 나타남</t>
        </is>
      </c>
      <c r="G32" s="47" t="n">
        <v>8</v>
      </c>
      <c r="H32" s="48" t="inlineStr">
        <is>
          <t>시뮬레이터가 무엇을 모사하지 않는지 정리된 목록이 없음</t>
        </is>
      </c>
      <c r="I32" s="47" t="n">
        <v>7</v>
      </c>
      <c r="J32" s="48" t="inlineStr">
        <is>
          <t>없음</t>
        </is>
      </c>
      <c r="K32" s="48" t="inlineStr">
        <is>
          <t>구조적으로 없음 — 무엇을 못 잡는지 자체를 모르는 상태</t>
        </is>
      </c>
      <c r="L32" s="47" t="n">
        <v>9</v>
      </c>
      <c r="M32" s="47">
        <f>G32*I32*L32</f>
        <v/>
      </c>
      <c r="N32" s="49">
        <f>IF(G32&gt;=9,IF(I32&gt;=6,"H",IF(I32&gt;=4,IF(L32&gt;=2,"H","M"),IF(I32&gt;=2,IF(L32&gt;=7,"H",IF(L32&gt;=2,"M","L")),"L"))),IF(G32&gt;=7,IF(I32&gt;=8,IF(L32&gt;=2,"H","M"),IF(I32&gt;=6,IF(L32&gt;=5,"H","M"),IF(I32&gt;=4,IF(L32&gt;=7,"H",IF(L32&gt;=2,"M","L")),IF(I32&gt;=2,IF(L32&gt;=5,"M","L"),"L")))),IF(G32&gt;=4,IF(I32&gt;=8,IF(L32&gt;=7,"H",IF(L32&gt;=2,"M","L")),IF(I32&gt;=6,IF(L32&gt;=5,"M","L"),IF(I32&gt;=4,IF(L32&gt;=7,"M","L"),"L"))),IF(G32&gt;=2,IF(I32&gt;=8,IF(L32&gt;=7,"M","L"),"L"),"L"))))</f>
        <v/>
      </c>
      <c r="O32" s="48" t="inlineStr">
        <is>
          <t>시뮬레이터 미모사 항목 목록을 먼저 작성하고 각 항목을 실기 시험 항목으로 1:1 전환.</t>
        </is>
      </c>
      <c r="P32" s="48" t="inlineStr">
        <is>
          <t>미모사 항목이 전부 실기 시험 계획에 매핑. 미매핑 0건.</t>
        </is>
      </c>
      <c r="Q32" s="47" t="inlineStr">
        <is>
          <t>즉시</t>
        </is>
      </c>
      <c r="R32" s="47" t="n"/>
      <c r="S32" s="47" t="n"/>
      <c r="T32" s="47" t="n"/>
      <c r="U32" s="47" t="n"/>
      <c r="V32" s="47" t="n"/>
    </row>
    <row r="33">
      <c r="A33" s="47" t="inlineStr">
        <is>
          <t>SW-29</t>
        </is>
      </c>
      <c r="B33" s="47" t="n">
        <v>29</v>
      </c>
      <c r="C33" s="47" t="inlineStr">
        <is>
          <t>이노로보틱스</t>
        </is>
      </c>
      <c r="D33" s="48" t="inlineStr">
        <is>
          <t>회귀 시험 자동화</t>
        </is>
      </c>
      <c r="E33" s="48" t="inlineStr">
        <is>
          <t>변경이 기존 기능을 깨뜨렸는데 수동 확인에서 누락됨</t>
        </is>
      </c>
      <c r="F33" s="48" t="inlineStr">
        <is>
          <t>이미 검증을 마친 항목이 조용히 퇴행하고, 발견 시점이 늦어짐</t>
        </is>
      </c>
      <c r="G33" s="47" t="n">
        <v>7</v>
      </c>
      <c r="H33" s="48" t="inlineStr">
        <is>
          <t>API·DB E2E가 수동 검증에 의존</t>
        </is>
      </c>
      <c r="I33" s="47" t="n">
        <v>6</v>
      </c>
      <c r="J33" s="48" t="inlineStr">
        <is>
          <t>Core 순수 로직 단위시험</t>
        </is>
      </c>
      <c r="K33" s="48" t="inlineStr">
        <is>
          <t>빌드가 회귀를 막지 않음</t>
        </is>
      </c>
      <c r="L33" s="47" t="n">
        <v>6</v>
      </c>
      <c r="M33" s="47">
        <f>G33*I33*L33</f>
        <v/>
      </c>
      <c r="N33" s="49">
        <f>IF(G33&gt;=9,IF(I33&gt;=6,"H",IF(I33&gt;=4,IF(L33&gt;=2,"H","M"),IF(I33&gt;=2,IF(L33&gt;=7,"H",IF(L33&gt;=2,"M","L")),"L"))),IF(G33&gt;=7,IF(I33&gt;=8,IF(L33&gt;=2,"H","M"),IF(I33&gt;=6,IF(L33&gt;=5,"H","M"),IF(I33&gt;=4,IF(L33&gt;=7,"H",IF(L33&gt;=2,"M","L")),IF(I33&gt;=2,IF(L33&gt;=5,"M","L"),"L")))),IF(G33&gt;=4,IF(I33&gt;=8,IF(L33&gt;=7,"H",IF(L33&gt;=2,"M","L")),IF(I33&gt;=6,IF(L33&gt;=5,"M","L"),IF(I33&gt;=4,IF(L33&gt;=7,"M","L"),"L"))),IF(G33&gt;=2,IF(I33&gt;=8,IF(L33&gt;=7,"M","L"),"L"),"L"))))</f>
        <v/>
      </c>
      <c r="O33" s="48" t="inlineStr">
        <is>
          <t>핵심 시나리오(영역 등록 → Run 시작 → 전 구간 완료 → 진행률 100%)를 자동 E2E로 구성해 빌드에 연결.</t>
        </is>
      </c>
      <c r="P33" s="48" t="inlineStr">
        <is>
          <t>핵심 시나리오 자동 실행. 실패 시 빌드 차단.</t>
        </is>
      </c>
      <c r="Q33" s="47" t="inlineStr">
        <is>
          <t>Pre-POC 진행시</t>
        </is>
      </c>
      <c r="R33" s="47" t="n"/>
      <c r="S33" s="47" t="n"/>
      <c r="T33" s="47" t="n"/>
      <c r="U33" s="47" t="n"/>
      <c r="V33" s="47" t="n"/>
    </row>
    <row r="34">
      <c r="A34" s="47" t="inlineStr">
        <is>
          <t>SW-30</t>
        </is>
      </c>
      <c r="B34" s="47" t="n">
        <v>30</v>
      </c>
      <c r="C34" s="47" t="inlineStr">
        <is>
          <t>이노로보틱스</t>
        </is>
      </c>
      <c r="D34" s="48" t="inlineStr">
        <is>
          <t>배포 구성요소 버전 정합</t>
        </is>
      </c>
      <c r="E34" s="48" t="inlineStr">
        <is>
          <t>앱·UI·DB 스키마 버전이 어긋난 채 배포됨</t>
        </is>
      </c>
      <c r="F34" s="48" t="inlineStr">
        <is>
          <t>제거된 API 호출 등으로 기능이 실패 (전례 있음)</t>
        </is>
      </c>
      <c r="G34" s="47" t="n">
        <v>6</v>
      </c>
      <c r="H34" s="48" t="inlineStr">
        <is>
          <t>세 구성요소의 버전이 한 조로 관리되지 않음</t>
        </is>
      </c>
      <c r="I34" s="47" t="n">
        <v>7</v>
      </c>
      <c r="J34" s="48" t="inlineStr">
        <is>
          <t>없음</t>
        </is>
      </c>
      <c r="K34" s="48" t="inlineStr">
        <is>
          <t>기동 시 상호 버전 검사가 없음</t>
        </is>
      </c>
      <c r="L34" s="47" t="n">
        <v>4</v>
      </c>
      <c r="M34" s="47">
        <f>G34*I34*L34</f>
        <v/>
      </c>
      <c r="N34" s="49">
        <f>IF(G34&gt;=9,IF(I34&gt;=6,"H",IF(I34&gt;=4,IF(L34&gt;=2,"H","M"),IF(I34&gt;=2,IF(L34&gt;=7,"H",IF(L34&gt;=2,"M","L")),"L"))),IF(G34&gt;=7,IF(I34&gt;=8,IF(L34&gt;=2,"H","M"),IF(I34&gt;=6,IF(L34&gt;=5,"H","M"),IF(I34&gt;=4,IF(L34&gt;=7,"H",IF(L34&gt;=2,"M","L")),IF(I34&gt;=2,IF(L34&gt;=5,"M","L"),"L")))),IF(G34&gt;=4,IF(I34&gt;=8,IF(L34&gt;=7,"H",IF(L34&gt;=2,"M","L")),IF(I34&gt;=6,IF(L34&gt;=5,"M","L"),IF(I34&gt;=4,IF(L34&gt;=7,"M","L"),"L"))),IF(G34&gt;=2,IF(I34&gt;=8,IF(L34&gt;=7,"M","L"),"L"),"L"))))</f>
        <v/>
      </c>
      <c r="O34" s="48" t="inlineStr">
        <is>
          <t>배포 패키지를 클린 환경에 설치해 세 구성요소 버전 정보를 상호 확인.</t>
        </is>
      </c>
      <c r="P34" s="48" t="inlineStr">
        <is>
          <t>세 버전이 한 조로 관리되고, 불일치 시 기동 단계에서 경고 또는 거부.</t>
        </is>
      </c>
      <c r="Q34" s="47" t="inlineStr">
        <is>
          <t>즉시</t>
        </is>
      </c>
      <c r="R34" s="47" t="n"/>
      <c r="S34" s="47" t="n"/>
      <c r="T34" s="47" t="n"/>
      <c r="U34" s="47" t="n"/>
      <c r="V34" s="47" t="n"/>
    </row>
    <row r="35">
      <c r="A35" s="47" t="inlineStr">
        <is>
          <t>SW-31</t>
        </is>
      </c>
      <c r="B35" s="47" t="n">
        <v>31</v>
      </c>
      <c r="C35" s="47" t="inlineStr">
        <is>
          <t>이노로보틱스</t>
        </is>
      </c>
      <c r="D35" s="48" t="inlineStr">
        <is>
          <t>폐쇄망 빌드 재현성</t>
        </is>
      </c>
      <c r="E35" s="48" t="inlineStr">
        <is>
          <t>현장에서 소스로부터 동일 산출물을 다시 빌드할 수 없음</t>
        </is>
      </c>
      <c r="F35" s="48" t="inlineStr">
        <is>
          <t>현장 긴급 수정이 불가능해지고 유지보수가 외부 의존이 됨</t>
        </is>
      </c>
      <c r="G35" s="47" t="n">
        <v>7</v>
      </c>
      <c r="H35" s="48" t="inlineStr">
        <is>
          <t>외부 패키지 피드 자격증명에 의존</t>
        </is>
      </c>
      <c r="I35" s="47" t="n">
        <v>6</v>
      </c>
      <c r="J35" s="48" t="inlineStr">
        <is>
          <t>nuget.config 로 패키지 소스 고정</t>
        </is>
      </c>
      <c r="K35" s="48" t="inlineStr">
        <is>
          <t>인터넷 차단 환경에서 빌드를 시도한 적 없음</t>
        </is>
      </c>
      <c r="L35" s="47" t="n">
        <v>5</v>
      </c>
      <c r="M35" s="47">
        <f>G35*I35*L35</f>
        <v/>
      </c>
      <c r="N35" s="49">
        <f>IF(G35&gt;=9,IF(I35&gt;=6,"H",IF(I35&gt;=4,IF(L35&gt;=2,"H","M"),IF(I35&gt;=2,IF(L35&gt;=7,"H",IF(L35&gt;=2,"M","L")),"L"))),IF(G35&gt;=7,IF(I35&gt;=8,IF(L35&gt;=2,"H","M"),IF(I35&gt;=6,IF(L35&gt;=5,"H","M"),IF(I35&gt;=4,IF(L35&gt;=7,"H",IF(L35&gt;=2,"M","L")),IF(I35&gt;=2,IF(L35&gt;=5,"M","L"),"L")))),IF(G35&gt;=4,IF(I35&gt;=8,IF(L35&gt;=7,"H",IF(L35&gt;=2,"M","L")),IF(I35&gt;=6,IF(L35&gt;=5,"M","L"),IF(I35&gt;=4,IF(L35&gt;=7,"M","L"),"L"))),IF(G35&gt;=2,IF(I35&gt;=8,IF(L35&gt;=7,"M","L"),"L"),"L"))))</f>
        <v/>
      </c>
      <c r="O35" s="48" t="inlineStr">
        <is>
          <t>인터넷 차단 환경에서 소스만으로 전체 솔루션 빌드 시도.</t>
        </is>
      </c>
      <c r="P35" s="48" t="inlineStr">
        <is>
          <t>오프라인 패키지 캐시만으로 빌드 성공. 불가하면 산출물 보관·서명 정책으로 대체하고 문서화.</t>
        </is>
      </c>
      <c r="Q35" s="47" t="inlineStr">
        <is>
          <t>POC 진행시</t>
        </is>
      </c>
      <c r="R35" s="47" t="n"/>
      <c r="S35" s="47" t="n"/>
      <c r="T35" s="47" t="n"/>
      <c r="U35" s="47" t="n"/>
      <c r="V35" s="47" t="n"/>
    </row>
    <row r="36" s="6">
      <c r="A36" s="47" t="inlineStr">
        <is>
          <t>SW-32</t>
        </is>
      </c>
      <c r="B36" s="47" t="n">
        <v>32</v>
      </c>
      <c r="C36" s="47" t="inlineStr">
        <is>
          <t>이노로보틱스</t>
        </is>
      </c>
      <c r="D36" s="48" t="inlineStr">
        <is>
          <t>좌표 변환식·격벽 반폭 함수의 단일 정본 유지</t>
        </is>
      </c>
      <c r="E36" s="48" t="inlineStr">
        <is>
          <t>변환 규약을 한 곳만 고쳐 나머지 복제본이 어긋남</t>
        </is>
      </c>
      <c r="F36" s="48" t="inlineStr">
        <is>
          <t>뷰마다 다른 좌표를 그리거나, 등록은 되는데 실행 좌표가 달라짐</t>
        </is>
      </c>
      <c r="G36" s="47" t="n">
        <v>7</v>
      </c>
      <c r="H36" s="48" t="inlineStr">
        <is>
          <t>정본 1곳 + UI 복제 4곳, 격벽 반폭 3중복. 복제본 일치를 강제하는 시험이 없음</t>
        </is>
      </c>
      <c r="I36" s="47" t="n">
        <v>6</v>
      </c>
      <c r="J36" s="48" t="inlineStr">
        <is>
          <t>Core 순수 함수 단위시험(정본에 한정)</t>
        </is>
      </c>
      <c r="K36" s="48" t="inlineStr">
        <is>
          <t>없음 — 화면이 그럴듯하게 그려져 어긋남이 드러나지 않음</t>
        </is>
      </c>
      <c r="L36" s="47" t="n">
        <v>8</v>
      </c>
      <c r="M36" s="47">
        <f>G36*I36*L36</f>
        <v/>
      </c>
      <c r="N36" s="49">
        <f>IF(G36&gt;=9,IF(I36&gt;=6,"H",IF(I36&gt;=4,IF(L36&gt;=2,"H","M"),IF(I36&gt;=2,IF(L36&gt;=7,"H",IF(L36&gt;=2,"M","L")),"L"))),IF(G36&gt;=7,IF(I36&gt;=8,IF(L36&gt;=2,"H","M"),IF(I36&gt;=6,IF(L36&gt;=5,"H","M"),IF(I36&gt;=4,IF(L36&gt;=7,"H",IF(L36&gt;=2,"M","L")),IF(I36&gt;=2,IF(L36&gt;=5,"M","L"),"L")))),IF(G36&gt;=4,IF(I36&gt;=8,IF(L36&gt;=7,"H",IF(L36&gt;=2,"M","L")),IF(I36&gt;=6,IF(L36&gt;=5,"M","L"),IF(I36&gt;=4,IF(L36&gt;=7,"M","L"),"L"))),IF(G36&gt;=2,IF(I36&gt;=8,IF(L36&gt;=7,"M","L"),"L"),"L"))))</f>
        <v/>
      </c>
      <c r="O36" s="48" t="inlineStr">
        <is>
          <t>인접 면 공유 모서리 좌표가 4개 경로 전부에서 일치하는지 단위시험. 반폭 3구현에 동일 입력을 넣어 결과 대조.</t>
        </is>
      </c>
      <c r="P36" s="48" t="inlineStr">
        <is>
          <t>공유 모서리 ≤ 1mm 일치. 반폭 3구현 결과 동일. 한 곳만 바꾸면 시험이 실패로 잡아냄.</t>
        </is>
      </c>
      <c r="Q36" s="47" t="inlineStr">
        <is>
          <t>Pre-POC 진행시</t>
        </is>
      </c>
      <c r="R36" s="47" t="n"/>
      <c r="S36" s="47" t="n"/>
      <c r="T36" s="47" t="n"/>
      <c r="U36" s="47" t="n"/>
      <c r="V36" s="47" t="n"/>
    </row>
    <row r="37" s="6">
      <c r="A37" s="47" t="inlineStr">
        <is>
          <t>SW-33</t>
        </is>
      </c>
      <c r="B37" s="47" t="n">
        <v>33</v>
      </c>
      <c r="C37" s="47" t="inlineStr">
        <is>
          <t>이노로보틱스</t>
        </is>
      </c>
      <c r="D37" s="48" t="inlineStr">
        <is>
          <t>3D 뷰 로봇 위치 표시</t>
        </is>
      </c>
      <c r="E37" s="48" t="inlineStr">
        <is>
          <t>맵 좌표를 도면 씬에 직접 매핑해 마커가 실제와 다른 위치에 표시됨</t>
        </is>
      </c>
      <c r="F37" s="48" t="inlineStr">
        <is>
          <t>운영자가 로봇 위치를 오판. 층도 반영되지 않음</t>
        </is>
      </c>
      <c r="G37" s="47" t="n">
        <v>5</v>
      </c>
      <c r="H37" s="48" t="inlineStr">
        <is>
          <t>T_W_D 역변환이 구현되지 않은 placeholder 상태</t>
        </is>
      </c>
      <c r="I37" s="47" t="n">
        <v>9</v>
      </c>
      <c r="J37" s="48" t="inlineStr">
        <is>
          <t>없음</t>
        </is>
      </c>
      <c r="K37" s="48" t="inlineStr">
        <is>
          <t>두 프레임이 비슷하면 그럴듯해 보임. 실측 대조를 한 적 없음</t>
        </is>
      </c>
      <c r="L37" s="47" t="n">
        <v>6</v>
      </c>
      <c r="M37" s="47">
        <f>G37*I37*L37</f>
        <v/>
      </c>
      <c r="N37" s="49">
        <f>IF(G37&gt;=9,IF(I37&gt;=6,"H",IF(I37&gt;=4,IF(L37&gt;=2,"H","M"),IF(I37&gt;=2,IF(L37&gt;=7,"H",IF(L37&gt;=2,"M","L")),"L"))),IF(G37&gt;=7,IF(I37&gt;=8,IF(L37&gt;=2,"H","M"),IF(I37&gt;=6,IF(L37&gt;=5,"H","M"),IF(I37&gt;=4,IF(L37&gt;=7,"H",IF(L37&gt;=2,"M","L")),IF(I37&gt;=2,IF(L37&gt;=5,"M","L"),"L")))),IF(G37&gt;=4,IF(I37&gt;=8,IF(L37&gt;=7,"H",IF(L37&gt;=2,"M","L")),IF(I37&gt;=6,IF(L37&gt;=5,"M","L"),IF(I37&gt;=4,IF(L37&gt;=7,"M","L"),"L"))),IF(G37&gt;=2,IF(I37&gt;=8,IF(L37&gt;=7,"M","L"),"L"),"L"))))</f>
        <v/>
      </c>
      <c r="O37" s="48" t="inlineStr">
        <is>
          <t>알려진 맵 좌표에 로봇을 두고 3D 마커 위치를 도면 실측과 대조. 4개 층 반복.</t>
        </is>
      </c>
      <c r="P37" s="48" t="inlineStr">
        <is>
          <t>마커가 실제 위치와 일치. 층 전환 시 z 반영. 유효 T_W_D 없는 층은 미표시 또는 미확정 표시.</t>
        </is>
      </c>
      <c r="Q37" s="47" t="inlineStr">
        <is>
          <t>POC 진행시</t>
        </is>
      </c>
      <c r="R37" s="47" t="n"/>
      <c r="S37" s="47" t="n"/>
      <c r="T37" s="47" t="n"/>
      <c r="U37" s="47" t="n"/>
      <c r="V37" s="47" t="n"/>
    </row>
    <row r="38" s="6">
      <c r="A38" s="47" t="inlineStr">
        <is>
          <t>SW-34</t>
        </is>
      </c>
      <c r="B38" s="47" t="n">
        <v>34</v>
      </c>
      <c r="C38" s="47" t="inlineStr">
        <is>
          <t>이노로보틱스</t>
        </is>
      </c>
      <c r="D38" s="48" t="inlineStr">
        <is>
          <t>관제 서버 외부 접속 구성</t>
        </is>
      </c>
      <c r="E38" s="48" t="inlineStr">
        <is>
          <t>루프백 고정 바인딩으로 같은 PC 밖에서 접속할 수 없음</t>
        </is>
      </c>
      <c r="F38" s="48" t="inlineStr">
        <is>
          <t>고객사 폴링 연동과 다중 사용자 모니터링이 전부 불가. 연동시험 당일 차단</t>
        </is>
      </c>
      <c r="G38" s="47" t="n">
        <v>7</v>
      </c>
      <c r="H38" s="48" t="inlineStr">
        <is>
          <t>UseUrls 가 localhost 로 하드코딩되어 있고 설정으로 노출되지 않음</t>
        </is>
      </c>
      <c r="I38" s="47" t="n">
        <v>9</v>
      </c>
      <c r="J38" s="48" t="inlineStr">
        <is>
          <t>없음</t>
        </is>
      </c>
      <c r="K38" s="48" t="inlineStr">
        <is>
          <t>같은 PC 에서만 시험해 와서 드러난 적 없음</t>
        </is>
      </c>
      <c r="L38" s="47" t="n">
        <v>4</v>
      </c>
      <c r="M38" s="47">
        <f>G38*I38*L38</f>
        <v/>
      </c>
      <c r="N38" s="49">
        <f>IF(G38&gt;=9,IF(I38&gt;=6,"H",IF(I38&gt;=4,IF(L38&gt;=2,"H","M"),IF(I38&gt;=2,IF(L38&gt;=7,"H",IF(L38&gt;=2,"M","L")),"L"))),IF(G38&gt;=7,IF(I38&gt;=8,IF(L38&gt;=2,"H","M"),IF(I38&gt;=6,IF(L38&gt;=5,"H","M"),IF(I38&gt;=4,IF(L38&gt;=7,"H",IF(L38&gt;=2,"M","L")),IF(I38&gt;=2,IF(L38&gt;=5,"M","L"),"L")))),IF(G38&gt;=4,IF(I38&gt;=8,IF(L38&gt;=7,"H",IF(L38&gt;=2,"M","L")),IF(I38&gt;=6,IF(L38&gt;=5,"M","L"),IF(I38&gt;=4,IF(L38&gt;=7,"M","L"),"L"))),IF(G38&gt;=2,IF(I38&gt;=8,IF(L38&gt;=7,"M","L"),"L"),"L"))))</f>
        <v/>
      </c>
      <c r="O38" s="48" t="inlineStr">
        <is>
          <t>별도 PC 에서 조회 API 전 엔드포인트와 실시간 구독 접속. 방화벽·포트·서버 IP 고정 포함 현장 구성으로 시험.</t>
        </is>
      </c>
      <c r="P38" s="48" t="inlineStr">
        <is>
          <t>외부 PC 에서 전 조회 API·실시간 구독 정상 동작. 바인딩 주소가 설정으로 변경 가능.</t>
        </is>
      </c>
      <c r="Q38" s="47" t="inlineStr">
        <is>
          <t>즉시</t>
        </is>
      </c>
      <c r="R38" s="47" t="n"/>
      <c r="S38" s="47" t="n"/>
      <c r="T38" s="47" t="n"/>
      <c r="U38" s="47" t="n"/>
      <c r="V38" s="47" t="n"/>
    </row>
  </sheetData>
  <autoFilter ref="A4:V38"/>
  <conditionalFormatting sqref="N5:N35">
    <cfRule type="cellIs" priority="1" operator="equal" dxfId="8">
      <formula>"H"</formula>
    </cfRule>
    <cfRule type="cellIs" priority="2" operator="equal" dxfId="9">
      <formula>"M"</formula>
    </cfRule>
    <cfRule type="cellIs" priority="3" operator="equal" dxfId="10">
      <formula>"L"</formula>
    </cfRule>
  </conditionalFormatting>
  <conditionalFormatting sqref="V5:V35">
    <cfRule type="cellIs" priority="4" operator="equal" dxfId="8">
      <formula>"H"</formula>
    </cfRule>
    <cfRule type="cellIs" priority="5" operator="equal" dxfId="9">
      <formula>"M"</formula>
    </cfRule>
    <cfRule type="cellIs" priority="6" operator="equal" dxfId="10">
      <formula>"L"</formula>
    </cfRule>
  </conditionalFormatting>
  <conditionalFormatting sqref="M5:M35">
    <cfRule type="cellIs" priority="7" operator="greaterThanOrEqual" dxfId="11">
      <formula>300</formula>
    </cfRule>
    <cfRule type="cellIs" priority="8" operator="greaterThanOrEqual" dxfId="12">
      <formula>150</formula>
    </cfRule>
  </conditionalFormatting>
  <conditionalFormatting sqref="L5:L35">
    <cfRule type="cellIs" priority="9" operator="greaterThanOrEqual" dxfId="8">
      <formula>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성곤 김</dc:creator>
  <dcterms:created xmlns:dcterms="http://purl.org/dc/terms/" xmlns:xsi="http://www.w3.org/2001/XMLSchema-instance" xsi:type="dcterms:W3CDTF">2026-08-26T06:20:50Z</dcterms:created>
  <dcterms:modified xmlns:dcterms="http://purl.org/dc/terms/" xmlns:xsi="http://www.w3.org/2001/XMLSchema-instance" xsi:type="dcterms:W3CDTF">2026-08-27T07:18:25Z</dcterms:modified>
  <cp:lastModifiedBy>성곤 김</cp:lastModifiedBy>
</cp:coreProperties>
</file>